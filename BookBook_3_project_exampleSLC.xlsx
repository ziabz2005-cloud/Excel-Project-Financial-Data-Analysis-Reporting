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e3f8a3d013a573/Desktop/Excel projects/"/>
    </mc:Choice>
  </mc:AlternateContent>
  <xr:revisionPtr revIDLastSave="3" documentId="14_{4F29493F-C867-4045-A517-A714AAF6DB8E}" xr6:coauthVersionLast="47" xr6:coauthVersionMax="47" xr10:uidLastSave="{B337BDF4-4723-4697-8E6A-34655022F0DC}"/>
  <bookViews>
    <workbookView xWindow="-108" yWindow="-108" windowWidth="23256" windowHeight="13896" firstSheet="5" activeTab="8" xr2:uid="{DFE5BF95-21D2-4928-94F5-866FF1CC9663}"/>
  </bookViews>
  <sheets>
    <sheet name="Cover" sheetId="10" r:id="rId1"/>
    <sheet name="README" sheetId="2" r:id="rId2"/>
    <sheet name="Dashboard" sheetId="9" r:id="rId3"/>
    <sheet name="Raw_AUM" sheetId="3" r:id="rId4"/>
    <sheet name="Raw_GL" sheetId="4" r:id="rId5"/>
    <sheet name="Raw_Investments" sheetId="5" r:id="rId6"/>
    <sheet name="Processed_Model" sheetId="6" r:id="rId7"/>
    <sheet name="Controls" sheetId="7" r:id="rId8"/>
    <sheet name="Variance_Detail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6" l="1"/>
  <c r="AH5" i="6"/>
  <c r="AI4" i="6"/>
  <c r="AH4" i="6"/>
  <c r="AI3" i="6"/>
  <c r="AH3" i="6"/>
  <c r="H13" i="10" a="1"/>
  <c r="H13" i="10" s="1"/>
  <c r="F13" i="10"/>
  <c r="D13" i="10"/>
  <c r="B13" i="10"/>
  <c r="B6" i="10"/>
  <c r="F13" i="9" a="1"/>
  <c r="F13" i="9" s="1"/>
  <c r="F12" i="9"/>
  <c r="F11" i="9"/>
  <c r="G14" i="7"/>
  <c r="E14" i="7"/>
  <c r="D14" i="7"/>
  <c r="C14" i="7"/>
  <c r="G13" i="7"/>
  <c r="E13" i="7"/>
  <c r="D13" i="7"/>
  <c r="C13" i="7"/>
  <c r="G12" i="7"/>
  <c r="E12" i="7"/>
  <c r="D12" i="7"/>
  <c r="C12" i="7"/>
  <c r="G29" i="8"/>
  <c r="F29" i="8"/>
  <c r="E29" i="8"/>
  <c r="D29" i="8"/>
  <c r="C29" i="8"/>
  <c r="G28" i="8"/>
  <c r="F28" i="8"/>
  <c r="E28" i="8"/>
  <c r="D28" i="8"/>
  <c r="C28" i="8"/>
  <c r="G27" i="8"/>
  <c r="F27" i="8"/>
  <c r="E27" i="8"/>
  <c r="D27" i="8"/>
  <c r="C27" i="8"/>
  <c r="G26" i="8"/>
  <c r="F26" i="8"/>
  <c r="E26" i="8"/>
  <c r="D26" i="8"/>
  <c r="C26" i="8"/>
  <c r="G25" i="8"/>
  <c r="F25" i="8"/>
  <c r="E25" i="8"/>
  <c r="D25" i="8"/>
  <c r="C25" i="8"/>
  <c r="G24" i="8"/>
  <c r="F24" i="8"/>
  <c r="E24" i="8"/>
  <c r="D24" i="8"/>
  <c r="C24" i="8"/>
  <c r="G23" i="8"/>
  <c r="F23" i="8"/>
  <c r="E23" i="8"/>
  <c r="D23" i="8"/>
  <c r="C23" i="8"/>
  <c r="G22" i="8"/>
  <c r="F22" i="8"/>
  <c r="E22" i="8"/>
  <c r="D22" i="8"/>
  <c r="C22" i="8"/>
  <c r="G21" i="8"/>
  <c r="F21" i="8"/>
  <c r="E21" i="8"/>
  <c r="D21" i="8"/>
  <c r="C21" i="8"/>
  <c r="AF6" i="6"/>
  <c r="AE6" i="6"/>
  <c r="AD6" i="6"/>
  <c r="AC6" i="6"/>
  <c r="AF5" i="6"/>
  <c r="AE5" i="6"/>
  <c r="AD5" i="6"/>
  <c r="AC5" i="6"/>
  <c r="AF4" i="6"/>
  <c r="AE4" i="6"/>
  <c r="AD4" i="6"/>
  <c r="AC4" i="6"/>
  <c r="AF3" i="6"/>
  <c r="AE3" i="6"/>
  <c r="AD3" i="6"/>
  <c r="AC3" i="6"/>
  <c r="Z6" i="6"/>
  <c r="Y6" i="6"/>
  <c r="X6" i="6"/>
  <c r="W6" i="6"/>
  <c r="Z5" i="6"/>
  <c r="Y5" i="6"/>
  <c r="X5" i="6"/>
  <c r="W5" i="6"/>
  <c r="Z4" i="6"/>
  <c r="Y4" i="6"/>
  <c r="X4" i="6"/>
  <c r="W4" i="6"/>
  <c r="Z3" i="6"/>
  <c r="Y3" i="6"/>
  <c r="X3" i="6"/>
  <c r="W3" i="6"/>
  <c r="E29" i="7" a="1"/>
  <c r="E29" i="7"/>
  <c r="D8" i="7"/>
  <c r="D14" i="9"/>
  <c r="C14" i="9"/>
  <c r="B14" i="9"/>
  <c r="D13" i="9"/>
  <c r="C13" i="9"/>
  <c r="B13" i="9"/>
  <c r="D12" i="9"/>
  <c r="C12" i="9"/>
  <c r="B12" i="9"/>
  <c r="D11" i="9"/>
  <c r="C11" i="9"/>
  <c r="B11" i="9"/>
  <c r="G7" i="9"/>
  <c r="G5" i="9"/>
  <c r="E7" i="9"/>
  <c r="E5" i="9"/>
  <c r="C7" i="9"/>
  <c r="C5" i="9"/>
  <c r="A7" i="9"/>
  <c r="A5" i="9"/>
  <c r="A2" i="9"/>
  <c r="G17" i="8"/>
  <c r="F17" i="8"/>
  <c r="E17" i="8"/>
  <c r="D17" i="8"/>
  <c r="C17" i="8"/>
  <c r="G16" i="8"/>
  <c r="F16" i="8"/>
  <c r="E16" i="8"/>
  <c r="D16" i="8"/>
  <c r="C16" i="8"/>
  <c r="G15" i="8"/>
  <c r="F15" i="8"/>
  <c r="E15" i="8"/>
  <c r="D15" i="8"/>
  <c r="C15" i="8"/>
  <c r="G14" i="8"/>
  <c r="F14" i="8"/>
  <c r="E14" i="8"/>
  <c r="D14" i="8"/>
  <c r="C14" i="8"/>
  <c r="G13" i="8"/>
  <c r="F13" i="8"/>
  <c r="E13" i="8"/>
  <c r="D13" i="8"/>
  <c r="C13" i="8"/>
  <c r="G12" i="8"/>
  <c r="F12" i="8"/>
  <c r="E12" i="8"/>
  <c r="D12" i="8"/>
  <c r="C12" i="8"/>
  <c r="G11" i="8"/>
  <c r="F11" i="8"/>
  <c r="E11" i="8"/>
  <c r="D11" i="8"/>
  <c r="C11" i="8"/>
  <c r="G10" i="8"/>
  <c r="F10" i="8"/>
  <c r="E10" i="8"/>
  <c r="D10" i="8"/>
  <c r="C10" i="8"/>
  <c r="G9" i="8"/>
  <c r="F9" i="8"/>
  <c r="E9" i="8"/>
  <c r="D9" i="8"/>
  <c r="C9" i="8"/>
  <c r="G8" i="8"/>
  <c r="F8" i="8"/>
  <c r="E8" i="8"/>
  <c r="D8" i="8"/>
  <c r="C8" i="8"/>
  <c r="G7" i="8"/>
  <c r="F7" i="8"/>
  <c r="E7" i="8"/>
  <c r="D7" i="8"/>
  <c r="C7" i="8"/>
  <c r="G6" i="8"/>
  <c r="F6" i="8"/>
  <c r="E6" i="8"/>
  <c r="D6" i="8"/>
  <c r="C6" i="8"/>
  <c r="G5" i="8"/>
  <c r="F5" i="8"/>
  <c r="E5" i="8"/>
  <c r="D5" i="8"/>
  <c r="C5" i="8"/>
  <c r="A2" i="8"/>
  <c r="C40" i="7" a="1"/>
  <c r="C40" i="7" s="1"/>
  <c r="C39" i="7" a="1"/>
  <c r="C39" i="7" s="1"/>
  <c r="C38" i="7"/>
  <c r="C37" i="7"/>
  <c r="E33" i="7" a="1"/>
  <c r="E33" i="7" s="1"/>
  <c r="G33" i="7" s="1"/>
  <c r="E32" i="7"/>
  <c r="G32" i="7" s="1"/>
  <c r="E31" i="7"/>
  <c r="G31" i="7" s="1"/>
  <c r="E30" i="7" a="1"/>
  <c r="E30" i="7" s="1"/>
  <c r="G30" i="7" s="1"/>
  <c r="G29" i="7"/>
  <c r="E28" i="7"/>
  <c r="G28" i="7" s="1"/>
  <c r="E27" i="7"/>
  <c r="G27" i="7" s="1"/>
  <c r="F23" i="7"/>
  <c r="D23" i="7"/>
  <c r="C23" i="7"/>
  <c r="E23" i="7" s="1"/>
  <c r="F22" i="7"/>
  <c r="D22" i="7"/>
  <c r="C22" i="7"/>
  <c r="E22" i="7" s="1"/>
  <c r="F21" i="7"/>
  <c r="D21" i="7"/>
  <c r="G21" i="7" s="1"/>
  <c r="C21" i="7"/>
  <c r="E21" i="7" s="1"/>
  <c r="F20" i="7"/>
  <c r="D20" i="7"/>
  <c r="C20" i="7"/>
  <c r="E20" i="7" s="1"/>
  <c r="F19" i="7"/>
  <c r="D19" i="7"/>
  <c r="C19" i="7"/>
  <c r="E19" i="7" s="1"/>
  <c r="F18" i="7"/>
  <c r="D18" i="7"/>
  <c r="C18" i="7"/>
  <c r="E18" i="7" s="1"/>
  <c r="D11" i="7"/>
  <c r="C11" i="7"/>
  <c r="E11" i="7" s="1"/>
  <c r="G11" i="7" s="1"/>
  <c r="D10" i="7"/>
  <c r="C10" i="7"/>
  <c r="E10" i="7" s="1"/>
  <c r="G10" i="7" s="1"/>
  <c r="D9" i="7"/>
  <c r="C9" i="7"/>
  <c r="E9" i="7" s="1"/>
  <c r="G9" i="7" s="1"/>
  <c r="C8" i="7"/>
  <c r="D7" i="7"/>
  <c r="C7" i="7"/>
  <c r="E7" i="7" s="1"/>
  <c r="G7" i="7" s="1"/>
  <c r="D6" i="7"/>
  <c r="C6" i="7"/>
  <c r="E6" i="7" s="1"/>
  <c r="G6" i="7" s="1"/>
  <c r="A2" i="7"/>
  <c r="T12" i="6"/>
  <c r="S12" i="6"/>
  <c r="T11" i="6"/>
  <c r="S11" i="6"/>
  <c r="T10" i="6"/>
  <c r="S10" i="6"/>
  <c r="T9" i="6"/>
  <c r="S9" i="6"/>
  <c r="T8" i="6"/>
  <c r="S8" i="6"/>
  <c r="T7" i="6"/>
  <c r="S7" i="6"/>
  <c r="T6" i="6"/>
  <c r="S6" i="6"/>
  <c r="T5" i="6"/>
  <c r="S5" i="6"/>
  <c r="T4" i="6"/>
  <c r="S4" i="6"/>
  <c r="T3" i="6"/>
  <c r="S3" i="6"/>
  <c r="O26" i="6"/>
  <c r="N26" i="6"/>
  <c r="M26" i="6"/>
  <c r="L26" i="6"/>
  <c r="K26" i="6"/>
  <c r="O25" i="6"/>
  <c r="N25" i="6"/>
  <c r="M25" i="6"/>
  <c r="L25" i="6"/>
  <c r="K25" i="6"/>
  <c r="O24" i="6"/>
  <c r="N24" i="6"/>
  <c r="M24" i="6"/>
  <c r="L24" i="6"/>
  <c r="K24" i="6"/>
  <c r="O23" i="6"/>
  <c r="N23" i="6"/>
  <c r="M23" i="6"/>
  <c r="L23" i="6"/>
  <c r="K23" i="6"/>
  <c r="O22" i="6"/>
  <c r="N22" i="6"/>
  <c r="M22" i="6"/>
  <c r="L22" i="6"/>
  <c r="K22" i="6"/>
  <c r="O21" i="6"/>
  <c r="N21" i="6"/>
  <c r="M21" i="6"/>
  <c r="L21" i="6"/>
  <c r="K21" i="6"/>
  <c r="O20" i="6"/>
  <c r="N20" i="6"/>
  <c r="M20" i="6"/>
  <c r="L20" i="6"/>
  <c r="K20" i="6"/>
  <c r="O19" i="6"/>
  <c r="N19" i="6"/>
  <c r="M19" i="6"/>
  <c r="L19" i="6"/>
  <c r="K19" i="6"/>
  <c r="O18" i="6"/>
  <c r="N18" i="6"/>
  <c r="M18" i="6"/>
  <c r="L18" i="6"/>
  <c r="K18" i="6"/>
  <c r="O17" i="6"/>
  <c r="N17" i="6"/>
  <c r="M17" i="6"/>
  <c r="L17" i="6"/>
  <c r="K17" i="6"/>
  <c r="O16" i="6"/>
  <c r="N16" i="6"/>
  <c r="M16" i="6"/>
  <c r="L16" i="6"/>
  <c r="K16" i="6"/>
  <c r="O15" i="6"/>
  <c r="N15" i="6"/>
  <c r="M15" i="6"/>
  <c r="L15" i="6"/>
  <c r="K15" i="6"/>
  <c r="O14" i="6"/>
  <c r="N14" i="6"/>
  <c r="M14" i="6"/>
  <c r="L14" i="6"/>
  <c r="K14" i="6"/>
  <c r="O13" i="6"/>
  <c r="N13" i="6"/>
  <c r="M13" i="6"/>
  <c r="L13" i="6"/>
  <c r="K13" i="6"/>
  <c r="O12" i="6"/>
  <c r="N12" i="6"/>
  <c r="M12" i="6"/>
  <c r="L12" i="6"/>
  <c r="K12" i="6"/>
  <c r="O11" i="6"/>
  <c r="N11" i="6"/>
  <c r="M11" i="6"/>
  <c r="L11" i="6"/>
  <c r="K11" i="6"/>
  <c r="O10" i="6"/>
  <c r="N10" i="6"/>
  <c r="M10" i="6"/>
  <c r="L10" i="6"/>
  <c r="K10" i="6"/>
  <c r="O9" i="6"/>
  <c r="N9" i="6"/>
  <c r="M9" i="6"/>
  <c r="L9" i="6"/>
  <c r="K9" i="6"/>
  <c r="O8" i="6"/>
  <c r="N8" i="6"/>
  <c r="M8" i="6"/>
  <c r="L8" i="6"/>
  <c r="K8" i="6"/>
  <c r="O7" i="6"/>
  <c r="N7" i="6"/>
  <c r="M7" i="6"/>
  <c r="L7" i="6"/>
  <c r="K7" i="6"/>
  <c r="O6" i="6"/>
  <c r="N6" i="6"/>
  <c r="M6" i="6"/>
  <c r="L6" i="6"/>
  <c r="K6" i="6"/>
  <c r="O5" i="6"/>
  <c r="N5" i="6"/>
  <c r="M5" i="6"/>
  <c r="L5" i="6"/>
  <c r="K5" i="6"/>
  <c r="O4" i="6"/>
  <c r="N4" i="6"/>
  <c r="M4" i="6"/>
  <c r="L4" i="6"/>
  <c r="K4" i="6"/>
  <c r="O3" i="6"/>
  <c r="N3" i="6"/>
  <c r="M3" i="6"/>
  <c r="L3" i="6"/>
  <c r="K3" i="6"/>
  <c r="I26" i="6"/>
  <c r="H26" i="6"/>
  <c r="G26" i="6"/>
  <c r="F26" i="6"/>
  <c r="E26" i="6"/>
  <c r="I25" i="6"/>
  <c r="H25" i="6"/>
  <c r="G25" i="6"/>
  <c r="F25" i="6"/>
  <c r="E25" i="6"/>
  <c r="I24" i="6"/>
  <c r="H24" i="6"/>
  <c r="G24" i="6"/>
  <c r="F24" i="6"/>
  <c r="E24" i="6"/>
  <c r="I23" i="6"/>
  <c r="H23" i="6"/>
  <c r="G23" i="6"/>
  <c r="F23" i="6"/>
  <c r="E23" i="6"/>
  <c r="I22" i="6"/>
  <c r="H22" i="6"/>
  <c r="G22" i="6"/>
  <c r="F22" i="6"/>
  <c r="E22" i="6"/>
  <c r="I21" i="6"/>
  <c r="H21" i="6"/>
  <c r="G21" i="6"/>
  <c r="F21" i="6"/>
  <c r="E21" i="6"/>
  <c r="I20" i="6"/>
  <c r="H20" i="6"/>
  <c r="G20" i="6"/>
  <c r="F20" i="6"/>
  <c r="E20" i="6"/>
  <c r="I19" i="6"/>
  <c r="H19" i="6"/>
  <c r="G19" i="6"/>
  <c r="F19" i="6"/>
  <c r="E19" i="6"/>
  <c r="I18" i="6"/>
  <c r="H18" i="6"/>
  <c r="G18" i="6"/>
  <c r="F18" i="6"/>
  <c r="E18" i="6"/>
  <c r="I17" i="6"/>
  <c r="H17" i="6"/>
  <c r="G17" i="6"/>
  <c r="F17" i="6"/>
  <c r="E17" i="6"/>
  <c r="I16" i="6"/>
  <c r="H16" i="6"/>
  <c r="G16" i="6"/>
  <c r="F16" i="6"/>
  <c r="E16" i="6"/>
  <c r="I15" i="6"/>
  <c r="H15" i="6"/>
  <c r="G15" i="6"/>
  <c r="F15" i="6"/>
  <c r="E15" i="6"/>
  <c r="I14" i="6"/>
  <c r="H14" i="6"/>
  <c r="G14" i="6"/>
  <c r="F14" i="6"/>
  <c r="E14" i="6"/>
  <c r="I13" i="6"/>
  <c r="H13" i="6"/>
  <c r="G13" i="6"/>
  <c r="F13" i="6"/>
  <c r="E13" i="6"/>
  <c r="I12" i="6"/>
  <c r="H12" i="6"/>
  <c r="G12" i="6"/>
  <c r="F12" i="6"/>
  <c r="E12" i="6"/>
  <c r="I11" i="6"/>
  <c r="H11" i="6"/>
  <c r="G11" i="6"/>
  <c r="F11" i="6"/>
  <c r="E11" i="6"/>
  <c r="I10" i="6"/>
  <c r="H10" i="6"/>
  <c r="G10" i="6"/>
  <c r="F10" i="6"/>
  <c r="E10" i="6"/>
  <c r="I9" i="6"/>
  <c r="H9" i="6"/>
  <c r="G9" i="6"/>
  <c r="F9" i="6"/>
  <c r="E9" i="6"/>
  <c r="I8" i="6"/>
  <c r="H8" i="6"/>
  <c r="G8" i="6"/>
  <c r="F8" i="6"/>
  <c r="E8" i="6"/>
  <c r="I7" i="6"/>
  <c r="H7" i="6"/>
  <c r="G7" i="6"/>
  <c r="F7" i="6"/>
  <c r="E7" i="6"/>
  <c r="I6" i="6"/>
  <c r="H6" i="6"/>
  <c r="G6" i="6"/>
  <c r="F6" i="6"/>
  <c r="E6" i="6"/>
  <c r="I5" i="6"/>
  <c r="H5" i="6"/>
  <c r="G5" i="6"/>
  <c r="F5" i="6"/>
  <c r="E5" i="6"/>
  <c r="I4" i="6"/>
  <c r="H4" i="6"/>
  <c r="G4" i="6"/>
  <c r="F4" i="6"/>
  <c r="E4" i="6"/>
  <c r="H3" i="6"/>
  <c r="G3" i="6"/>
  <c r="F3" i="6"/>
  <c r="E3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B3" i="6"/>
  <c r="B2" i="6"/>
  <c r="H13" i="9" l="1"/>
  <c r="G8" i="7"/>
  <c r="E8" i="7"/>
  <c r="G23" i="7"/>
  <c r="G22" i="7"/>
  <c r="G20" i="7"/>
  <c r="G19" i="7"/>
  <c r="G18" i="7"/>
  <c r="H12" i="9" s="1"/>
  <c r="F14" i="9"/>
  <c r="H14" i="9" s="1"/>
  <c r="H1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<sst xmlns="http://schemas.openxmlformats.org/spreadsheetml/2006/main" count="3712" uniqueCount="450">
  <si>
    <t>Date</t>
  </si>
  <si>
    <t>Segment</t>
  </si>
  <si>
    <t>Asset_Class</t>
  </si>
  <si>
    <t>AUM_CAD_Billions</t>
  </si>
  <si>
    <t>Source_File</t>
  </si>
  <si>
    <t>Asset Management</t>
  </si>
  <si>
    <t>Fixed Income</t>
  </si>
  <si>
    <t>AUM_2023_10.csv</t>
  </si>
  <si>
    <t>Equities</t>
  </si>
  <si>
    <t>Alternatives</t>
  </si>
  <si>
    <t>Wealth</t>
  </si>
  <si>
    <t>Insurance</t>
  </si>
  <si>
    <t>AUM_2023_11.csv</t>
  </si>
  <si>
    <t>AUM_2023_12.csv</t>
  </si>
  <si>
    <t>AUM_2024_01.csv</t>
  </si>
  <si>
    <t>AUM_2024_02.csv</t>
  </si>
  <si>
    <t>AUM_2024_03.csv</t>
  </si>
  <si>
    <t>AUM_2024_04.csv</t>
  </si>
  <si>
    <t>AUM_2024_05.csv</t>
  </si>
  <si>
    <t>AUM_2024_06.csv</t>
  </si>
  <si>
    <t>AUM_2024_07.csv</t>
  </si>
  <si>
    <t>AUM_2024_08.csv</t>
  </si>
  <si>
    <t>AUM_2024_09.csv</t>
  </si>
  <si>
    <t>AUM_2024_10.csv</t>
  </si>
  <si>
    <t>AUM_2024_11.csv</t>
  </si>
  <si>
    <t>AUM_2024_12.csv</t>
  </si>
  <si>
    <t>AUM_2025_01.csv</t>
  </si>
  <si>
    <t>AUM_2025_02.csv</t>
  </si>
  <si>
    <t>AUM_2025_03.csv</t>
  </si>
  <si>
    <t>AUM_2025_04.csv</t>
  </si>
  <si>
    <t>AUM_2025_05.csv</t>
  </si>
  <si>
    <t>AUM_2025_06.csv</t>
  </si>
  <si>
    <t>AUM_2025_07.csv</t>
  </si>
  <si>
    <t>AUM_2025_08.csv</t>
  </si>
  <si>
    <t>AUM_2025_09.csv</t>
  </si>
  <si>
    <t>Account_Code</t>
  </si>
  <si>
    <t>Account_Name</t>
  </si>
  <si>
    <t>Type</t>
  </si>
  <si>
    <t>Amount_CAD_Millions</t>
  </si>
  <si>
    <t>Management Fees</t>
  </si>
  <si>
    <t>Revenue</t>
  </si>
  <si>
    <t>GL_2023_10.csv</t>
  </si>
  <si>
    <t>Performance Fees</t>
  </si>
  <si>
    <t>Other Investment Income</t>
  </si>
  <si>
    <t>Compensation &amp; Benefits</t>
  </si>
  <si>
    <t>Expense</t>
  </si>
  <si>
    <t>Sub-Advisory Fees</t>
  </si>
  <si>
    <t>Technology &amp; Data</t>
  </si>
  <si>
    <t>Professional Fees</t>
  </si>
  <si>
    <t>Occupancy &amp; Other</t>
  </si>
  <si>
    <t>GL_2023_11.csv</t>
  </si>
  <si>
    <t>GL_2023_12.csv</t>
  </si>
  <si>
    <t>GL_2024_01.csv</t>
  </si>
  <si>
    <t>GL_2024_02.csv</t>
  </si>
  <si>
    <t>GL_2024_03.csv</t>
  </si>
  <si>
    <t>GL_2024_04.csv</t>
  </si>
  <si>
    <t>GL_2024_05.csv</t>
  </si>
  <si>
    <t>GL_2024_06.csv</t>
  </si>
  <si>
    <t>GL_2024_07.csv</t>
  </si>
  <si>
    <t>GL_2024_08.csv</t>
  </si>
  <si>
    <t>GL_2024_09.csv</t>
  </si>
  <si>
    <t>GL_2024_10.csv</t>
  </si>
  <si>
    <t>GL_2024_11.csv</t>
  </si>
  <si>
    <t>GL_2024_12.csv</t>
  </si>
  <si>
    <t>GL_2025_01.csv</t>
  </si>
  <si>
    <t>GL_2025_02.csv</t>
  </si>
  <si>
    <t>GL_2025_03.csv</t>
  </si>
  <si>
    <t>GL_2025_04.csv</t>
  </si>
  <si>
    <t>GL_2025_05.csv</t>
  </si>
  <si>
    <t>GL_2025_06.csv</t>
  </si>
  <si>
    <t>GL_2025_07.csv</t>
  </si>
  <si>
    <t>GL_2025_08.csv</t>
  </si>
  <si>
    <t>GL_2025_09.csv</t>
  </si>
  <si>
    <t>Fund_Name</t>
  </si>
  <si>
    <t>Market_Value_CAD_Billions</t>
  </si>
  <si>
    <t>Return_Pct</t>
  </si>
  <si>
    <t>SLC Core Plus Fixed Income Fund</t>
  </si>
  <si>
    <t>Investments_2025_08.csv</t>
  </si>
  <si>
    <t>SLC Long Duration Bond Fund</t>
  </si>
  <si>
    <t>SLC Investment Grade Credit Fund</t>
  </si>
  <si>
    <t>SLC Liability Driven Investment Fund</t>
  </si>
  <si>
    <t>SLC Short Duration Income Fund</t>
  </si>
  <si>
    <t>SLC Global Equity Fund</t>
  </si>
  <si>
    <t>SLC Canadian Equity Fund</t>
  </si>
  <si>
    <t>SLC Emerging Markets Equity Fund</t>
  </si>
  <si>
    <t>BGO Core Plus Real Estate Fund</t>
  </si>
  <si>
    <t>Crescent Direct Lending Fund</t>
  </si>
  <si>
    <t>InfraRed Infrastructure Fund</t>
  </si>
  <si>
    <t>SLC Private Credit Fund</t>
  </si>
  <si>
    <t>Sun Life Granite Balanced Portfolio</t>
  </si>
  <si>
    <t>Sun Life Money Market Fund</t>
  </si>
  <si>
    <t>MFS Global Equity Sun Life Fund</t>
  </si>
  <si>
    <t>Sun Life Dividend Income Fund</t>
  </si>
  <si>
    <t>Sun Life Real Assets Fund</t>
  </si>
  <si>
    <t>Insurance GA Fixed Income Pool</t>
  </si>
  <si>
    <t>Insurance GA Equity Pool</t>
  </si>
  <si>
    <t>Insurance GA Alternatives Pool</t>
  </si>
  <si>
    <t>Investments_2025_09.csv</t>
  </si>
  <si>
    <t>PARAMETERS</t>
  </si>
  <si>
    <t>Current Reporting Month</t>
  </si>
  <si>
    <t>Prior Reporting Month</t>
  </si>
  <si>
    <t>Variance Threshold (%)</t>
  </si>
  <si>
    <t>Outlier Return Threshold (%)</t>
  </si>
  <si>
    <t>Currency</t>
  </si>
  <si>
    <t>CAD Billions</t>
  </si>
  <si>
    <t>AUM MONTHLY ROLLUP (CAD $B)</t>
  </si>
  <si>
    <t>Month</t>
  </si>
  <si>
    <t>Total AUM</t>
  </si>
  <si>
    <t>MoM Change %</t>
  </si>
  <si>
    <t>GL MONTHLY ROLLUP (CAD $M)</t>
  </si>
  <si>
    <t>Expenses</t>
  </si>
  <si>
    <t>Net Income</t>
  </si>
  <si>
    <t>Operating Margin %</t>
  </si>
  <si>
    <t>INVESTMENTS ROLLUP — CURRENT MONTH (CAD $B)</t>
  </si>
  <si>
    <t>Asset Class</t>
  </si>
  <si>
    <t>Current MV ($B)</t>
  </si>
  <si>
    <t>Prior MV ($B)</t>
  </si>
  <si>
    <t>TOTAL</t>
  </si>
  <si>
    <t>MONTHLY CLOSE CONTROLS DASHBOARD</t>
  </si>
  <si>
    <t>A.  TIE-OUTS</t>
  </si>
  <si>
    <t>#</t>
  </si>
  <si>
    <t>Control</t>
  </si>
  <si>
    <t>Source A</t>
  </si>
  <si>
    <t>Source B</t>
  </si>
  <si>
    <t>Difference</t>
  </si>
  <si>
    <t>Tolerance</t>
  </si>
  <si>
    <t>Status</t>
  </si>
  <si>
    <t>AUM Total (Current Month) vs Investments Total</t>
  </si>
  <si>
    <t>AUM Total (Prior Month) vs Investments Total</t>
  </si>
  <si>
    <t>Asset Mgmt AUM = Asset Mgmt Investments (Current)</t>
  </si>
  <si>
    <t>Wealth AUM = Wealth Investments (Current)</t>
  </si>
  <si>
    <t>Insurance AUM = Insurance Investments (Current)</t>
  </si>
  <si>
    <t>B.  VARIANCE CHECKS — Current vs Prior Month</t>
  </si>
  <si>
    <t>Metric</t>
  </si>
  <si>
    <t>Current</t>
  </si>
  <si>
    <t>Prior</t>
  </si>
  <si>
    <t>Variance %</t>
  </si>
  <si>
    <t>Threshold</t>
  </si>
  <si>
    <t>Asset Management AUM</t>
  </si>
  <si>
    <t>Wealth AUM</t>
  </si>
  <si>
    <t>Insurance AUM</t>
  </si>
  <si>
    <t>Total Revenue (GL)</t>
  </si>
  <si>
    <t>Total Expenses (GL)</t>
  </si>
  <si>
    <t>C.  DATA QUALITY CHECKS</t>
  </si>
  <si>
    <t>Check</t>
  </si>
  <si>
    <t>Source Table</t>
  </si>
  <si>
    <t>Detail</t>
  </si>
  <si>
    <t>Count / Value</t>
  </si>
  <si>
    <t>Missing AUM rows for current month</t>
  </si>
  <si>
    <t>tblAUM</t>
  </si>
  <si>
    <t>Expected 9 (segments × asset classes); count rows present</t>
  </si>
  <si>
    <t>Missing GL rows for current month</t>
  </si>
  <si>
    <t>tblGL</t>
  </si>
  <si>
    <t>Expected 24 (segments × accounts); count rows present</t>
  </si>
  <si>
    <t>Duplicate fund-month combos in Investments</t>
  </si>
  <si>
    <t>tblInvestments</t>
  </si>
  <si>
    <t>Same Fund + Date appearing &gt;1 time</t>
  </si>
  <si>
    <t>Outlier returns in current Investments</t>
  </si>
  <si>
    <t>ABS(Return%) &gt; Outlier threshold</t>
  </si>
  <si>
    <t>Negative AUM values</t>
  </si>
  <si>
    <t>AUM should never be &lt; 0</t>
  </si>
  <si>
    <t>Blank AUM values</t>
  </si>
  <si>
    <t>Cells with no value in AUM column</t>
  </si>
  <si>
    <t>Distinct segments in AUM (expected 3)</t>
  </si>
  <si>
    <t>Asset Management / Wealth / Insurance</t>
  </si>
  <si>
    <t>D.  EXCEPTION REGISTER (auto-generated)</t>
  </si>
  <si>
    <t>Severity</t>
  </si>
  <si>
    <t>Category</t>
  </si>
  <si>
    <t>Issue</t>
  </si>
  <si>
    <t>Source / Reference</t>
  </si>
  <si>
    <t>Impact</t>
  </si>
  <si>
    <t>Owner</t>
  </si>
  <si>
    <t>HIGH</t>
  </si>
  <si>
    <t>Missing Data</t>
  </si>
  <si>
    <t>Raw_AUM table — no Insurance rows for current period</t>
  </si>
  <si>
    <t>Total AUM understated; Insurance reporting blocked</t>
  </si>
  <si>
    <t>Finance Data Ops</t>
  </si>
  <si>
    <t>OPEN</t>
  </si>
  <si>
    <t>Variance</t>
  </si>
  <si>
    <t>Raw_AUM filtered to Wealth + Equities</t>
  </si>
  <si>
    <t>Possible market correction or data error — requires explanation</t>
  </si>
  <si>
    <t>Wealth Finance Lead</t>
  </si>
  <si>
    <t>MED</t>
  </si>
  <si>
    <t>Duplicates</t>
  </si>
  <si>
    <t>Raw_Investments — see DQ Check #3</t>
  </si>
  <si>
    <t>Inflates Investment totals; breaks AUM↔Investments tie-out</t>
  </si>
  <si>
    <t>Outlier</t>
  </si>
  <si>
    <t>Raw_Investments — see DQ Check #4</t>
  </si>
  <si>
    <t>Possible data feed error or genuine event — confirm with Investment Ops</t>
  </si>
  <si>
    <t>Investment Ops</t>
  </si>
  <si>
    <t>AUM VARIANCE DETAIL — Current vs Prior Month</t>
  </si>
  <si>
    <t>Current ($B)</t>
  </si>
  <si>
    <t>Prior ($B)</t>
  </si>
  <si>
    <t>Δ ($B)</t>
  </si>
  <si>
    <t>Δ %</t>
  </si>
  <si>
    <t>Asset Management Total</t>
  </si>
  <si>
    <t>Wealth Total</t>
  </si>
  <si>
    <t>Insurance Total</t>
  </si>
  <si>
    <t>GRAND TOTAL</t>
  </si>
  <si>
    <t>SLC MANAGEMENT — FINANCE MONTHLY CLOSE DASHBOARD</t>
  </si>
  <si>
    <t>TOTAL AUM (CAD $B)</t>
  </si>
  <si>
    <t>MoM Δ AUM</t>
  </si>
  <si>
    <t>REVENUE (CAD $M)</t>
  </si>
  <si>
    <t>NET INCOME (CAD $M)</t>
  </si>
  <si>
    <t>AUM BY SEGMENT — Current Month</t>
  </si>
  <si>
    <t>EXCEPTION SUMMARY</t>
  </si>
  <si>
    <t>Count</t>
  </si>
  <si>
    <t>Tie-out Failures</t>
  </si>
  <si>
    <t>Variance Flags (&gt;threshold)</t>
  </si>
  <si>
    <t>Data Quality Failures</t>
  </si>
  <si>
    <t>Total Open Exceptions</t>
  </si>
  <si>
    <t>NAVIGATION</t>
  </si>
  <si>
    <t>→ README</t>
  </si>
  <si>
    <t>→ Controls Detail</t>
  </si>
  <si>
    <t>→ Variance Detail</t>
  </si>
  <si>
    <t>→ Processed Model</t>
  </si>
  <si>
    <t>SLC MANAGEMENT — FINANCE MONTHLY CLOSE &amp; REPORTING SYSTEM</t>
  </si>
  <si>
    <t>Runbook &amp; Documentation  |  Owner: Finance Data Operations  |  Version 1.0</t>
  </si>
  <si>
    <t>1.  PURPOSE</t>
  </si>
  <si>
    <t>This workbook simulates the end-to-end monthly close and reporting workflow for SLC Management's Finance Data Analytics &amp; Insights team. It demonstrates an automation-first design with built-in tie-outs, data quality checks, variance analysis, and a leadership-ready dashboard. Replace the source data each month, recalc, and the entire system updates.</t>
  </si>
  <si>
    <t>2.  MONTHLY REFRESH PROCEDURE  (one-click)</t>
  </si>
  <si>
    <t>Step 1</t>
  </si>
  <si>
    <t>Receive monthly source files: AUM_&lt;YYYY&gt;_&lt;MM&gt;.csv, GL_&lt;YYYY&gt;_&lt;MM&gt;.csv, Investments_&lt;YYYY&gt;_&lt;MM&gt;.csv</t>
  </si>
  <si>
    <t>Step 2</t>
  </si>
  <si>
    <t>Append new rows to the bottom of tblAUM (Raw_AUM), tblGL (Raw_GL), and tblInvestments (Raw_Investments). Tables auto-expand.</t>
  </si>
  <si>
    <t>Step 3</t>
  </si>
  <si>
    <t>Update parameters on Processed_Model: B2 = current month (1st of month), B3 = prior month.</t>
  </si>
  <si>
    <t>Step 4</t>
  </si>
  <si>
    <t>Press F9 (or Formulas → Calculate Now). All rollups, controls, and the dashboard refresh automatically.</t>
  </si>
  <si>
    <t>Step 5</t>
  </si>
  <si>
    <t>Open Controls sheet — review any FAIL, FLAG, or INVESTIGATE statuses. Resolve or document each in the Exception Register.</t>
  </si>
  <si>
    <t>Step 6</t>
  </si>
  <si>
    <t>Open Dashboard — confirm KPI band, trend, and segment mix. Sign off when Exception Summary shows ALL CLEAR or all open items have a documented owner.</t>
  </si>
  <si>
    <t>3.  SHEET DIRECTORY</t>
  </si>
  <si>
    <t>Sheet</t>
  </si>
  <si>
    <t>Layer</t>
  </si>
  <si>
    <t>Contents</t>
  </si>
  <si>
    <t>Edit?</t>
  </si>
  <si>
    <t>Refresh</t>
  </si>
  <si>
    <t>README</t>
  </si>
  <si>
    <t>Documentation</t>
  </si>
  <si>
    <t>Runbook, controls explanation, sheet map</t>
  </si>
  <si>
    <t>No</t>
  </si>
  <si>
    <t>—</t>
  </si>
  <si>
    <t>Raw_AUM</t>
  </si>
  <si>
    <t>Raw Data</t>
  </si>
  <si>
    <t>AUM Table — Date / Segment / Asset Class / AUM (tblAUM)</t>
  </si>
  <si>
    <t>Append rows monthly</t>
  </si>
  <si>
    <t>Auto</t>
  </si>
  <si>
    <t>Raw_GL</t>
  </si>
  <si>
    <t>GL Summary — Date / Segment / Account / Type / Amount (tblGL)</t>
  </si>
  <si>
    <t>Raw_Investments</t>
  </si>
  <si>
    <t>Fund-level Market Value &amp; Returns (tblInvestments)</t>
  </si>
  <si>
    <t>Processed_Model</t>
  </si>
  <si>
    <t>Processed</t>
  </si>
  <si>
    <t>Parameters + AUM/GL/Investments rollups via SUMIFS</t>
  </si>
  <si>
    <t>No (formulas)</t>
  </si>
  <si>
    <t>Controls</t>
  </si>
  <si>
    <t>Tie-outs, variance checks, DQ, exception register</t>
  </si>
  <si>
    <t>Variance_Detail</t>
  </si>
  <si>
    <t>Reporting</t>
  </si>
  <si>
    <t>Segment × Asset Class variance breakdown current vs prior</t>
  </si>
  <si>
    <t>Dashboard</t>
  </si>
  <si>
    <t>KPI cards, trend chart, segment mix, exception summary</t>
  </si>
  <si>
    <t>4.  CONTROLS FRAMEWORK</t>
  </si>
  <si>
    <t>What it catches</t>
  </si>
  <si>
    <t>A1-A6</t>
  </si>
  <si>
    <t>Tie-outs</t>
  </si>
  <si>
    <t>AUM totals = Investments totals (overall + by segment)</t>
  </si>
  <si>
    <t>Duplicates / missing funds breaking the model</t>
  </si>
  <si>
    <t>±$0.5B</t>
  </si>
  <si>
    <t>B1-B6</t>
  </si>
  <si>
    <t>Current vs Prior month — Total AUM, segment AUM, GL Revenue/Expenses</t>
  </si>
  <si>
    <t>Unexplained MoM swings</t>
  </si>
  <si>
    <t>±5% (parameter B4)</t>
  </si>
  <si>
    <t>C1</t>
  </si>
  <si>
    <t>DQ</t>
  </si>
  <si>
    <t>Source file not received / partial submission</t>
  </si>
  <si>
    <t>9 rows expected</t>
  </si>
  <si>
    <t>C2</t>
  </si>
  <si>
    <t>GL extract incomplete</t>
  </si>
  <si>
    <t>24 rows expected</t>
  </si>
  <si>
    <t>C3</t>
  </si>
  <si>
    <t>Duplicate fund-period entries in Investments</t>
  </si>
  <si>
    <t>Double-loaded fund file</t>
  </si>
  <si>
    <t>0 expected</t>
  </si>
  <si>
    <t>C4</t>
  </si>
  <si>
    <t>Bad data / corporate action / genuine outlier</t>
  </si>
  <si>
    <t>|return| &gt; 10%</t>
  </si>
  <si>
    <t>C5</t>
  </si>
  <si>
    <t>Sign error or transformation bug</t>
  </si>
  <si>
    <t>C6</t>
  </si>
  <si>
    <t>Empty cells in source</t>
  </si>
  <si>
    <t>C7</t>
  </si>
  <si>
    <t>Distinct segments in AUM</t>
  </si>
  <si>
    <t>Unexpected/misspelled segment</t>
  </si>
  <si>
    <t>exactly 3</t>
  </si>
  <si>
    <t>D</t>
  </si>
  <si>
    <t>Exceptions</t>
  </si>
  <si>
    <t>Auto-generated register of HIGH/MED issues</t>
  </si>
  <si>
    <t>Consolidated single-pane view for sign-off</t>
  </si>
  <si>
    <t>5.  KNOWN SEEDED ISSUES (current period — for demo)</t>
  </si>
  <si>
    <t>Missing data</t>
  </si>
  <si>
    <t>Insurance segment AUM and Investments are intentionally absent for Sep-2025 to demonstrate missing-file detection. Tie-out 6 will FAIL; DQ check 1 will surface the gap; Exception register lists it as HIGH.</t>
  </si>
  <si>
    <t>Variance spike</t>
  </si>
  <si>
    <t>Wealth/Equities AUM is engineered to drop ~12% MoM in Sep-2025 (simulated market event). Variance check 3 flags FLAG; Variance_Detail row shows the segment × asset class drilldown.</t>
  </si>
  <si>
    <t>Two fund rows (SLC Core Plus Fixed Income Fund, MFS Global Equity Sun Life Fund) appear twice in the Sep-2025 Investments table. DQ check 3 detects 2 duplicates; this is also why AUM↔Investments tie-out 1 fails.</t>
  </si>
  <si>
    <t>InfraRed Infrastructure Fund Sep-2025 return is set to +18.5% (above the 10% outlier threshold). DQ check 4 flags it for Investment Ops follow-up.</t>
  </si>
  <si>
    <t>6.  DESIGN PRINCIPLES</t>
  </si>
  <si>
    <t>•  Automation-first: zero manual edits in the processed/reporting layers. Replace raw, recalc, done.</t>
  </si>
  <si>
    <t>•  Structured Tables (tblAUM, tblGL, tblInvestments) so all formulas auto-expand as new rows append.</t>
  </si>
  <si>
    <t>•  Single source of truth — every figure on the Dashboard, Variance_Detail, and Controls traces back to one of the three raw tables via SUMIFS.</t>
  </si>
  <si>
    <t>•  No volatile functions (OFFSET, INDIRECT, NOW) in core paths — performant and audit-friendly.</t>
  </si>
  <si>
    <t>•  All controls produce a binary PASS / FAIL / FLAG output; conditional formatting makes the red/yellow/green visible at a glance.</t>
  </si>
  <si>
    <t>•  Parameter-driven: change the reporting period in two cells (Processed_Model B2:B3) and the entire system shifts.</t>
  </si>
  <si>
    <t>•  Exception register is dynamic — issues only surface when a check trips. Clean months show ALL CLEAR.</t>
  </si>
  <si>
    <t>•  Source File column on every raw row provides traceability back to the originating file.</t>
  </si>
  <si>
    <t>7.  POWER QUERY EXTENSION PATH (production deployment)</t>
  </si>
  <si>
    <t>In production, the three Raw_* tabs would be replaced by Power Query connections:</t>
  </si>
  <si>
    <t>1. From Folder</t>
  </si>
  <si>
    <t>Point at the monthly drop folder (\\sharedrive\Finance\Close\&lt;YYYY-MM&gt;\). Combine all CSVs matching AUM_*.csv, GL_*.csv, Investments_*.csv.</t>
  </si>
  <si>
    <t>2. Standardize</t>
  </si>
  <si>
    <t>Promote headers, set types (Date, Text, Decimal). Trim/clean text. Map Segment aliases (e.g., 'AM' → 'Asset Management'). Standardize currency to CAD.</t>
  </si>
  <si>
    <t>3. Validate in-pipe</t>
  </si>
  <si>
    <t>Add columns: IsDuplicate (Group By Fund+Date count &gt; 1), IsOutlier (ABS(Return) &gt; param), IsNegative. Surface to Controls.</t>
  </si>
  <si>
    <t>4. Load</t>
  </si>
  <si>
    <t>Load each query as a Table to its respective Raw_* tab. Refresh-all = Data → Refresh All (Ctrl+Alt+F5).</t>
  </si>
  <si>
    <t>5. Parameter table</t>
  </si>
  <si>
    <t>Replace Processed_Model B2:B3 with a Parameters query so reporting period is centrally managed.</t>
  </si>
  <si>
    <t>GL Net Income (Current) is positive</t>
  </si>
  <si>
    <t>GL BY SEGMENT — Current Month (CAD $M)</t>
  </si>
  <si>
    <t>Margin %</t>
  </si>
  <si>
    <t>GL BY SEGMENT — Prior Month (CAD $M)</t>
  </si>
  <si>
    <t>GL VARIANCE — Revenue / Expenses by Segment</t>
  </si>
  <si>
    <t>Current ($M)</t>
  </si>
  <si>
    <t>Prior ($M)</t>
  </si>
  <si>
    <t>Δ ($M)</t>
  </si>
  <si>
    <t>GL Revenue (Current) tied to GL by-segment rollup</t>
  </si>
  <si>
    <t>GL Expenses (Current) tied to GL by-segment rollup</t>
  </si>
  <si>
    <t>GL Net Income (Current) = Revenue – Expenses</t>
  </si>
  <si>
    <t>→ Dashboard</t>
  </si>
  <si>
    <t>→ Controls</t>
  </si>
  <si>
    <t>→ Variance</t>
  </si>
  <si>
    <t>→ Model</t>
  </si>
  <si>
    <t>→ Raw Data</t>
  </si>
  <si>
    <t>8.  DATA DICTIONARY</t>
  </si>
  <si>
    <t>Table</t>
  </si>
  <si>
    <t>Field</t>
  </si>
  <si>
    <t>Description</t>
  </si>
  <si>
    <t>Example</t>
  </si>
  <si>
    <t>Reporting period (1st of month)</t>
  </si>
  <si>
    <t>Text</t>
  </si>
  <si>
    <t>Business segment</t>
  </si>
  <si>
    <t>Asset class within segment</t>
  </si>
  <si>
    <t>Fixed Income / Equities / Alternatives</t>
  </si>
  <si>
    <t>Decimal</t>
  </si>
  <si>
    <t>AUM in CAD billions, 3 decimals</t>
  </si>
  <si>
    <t>Originating CSV filename for traceability</t>
  </si>
  <si>
    <t>GL chart-of-accounts code</t>
  </si>
  <si>
    <t>GL line-item description</t>
  </si>
  <si>
    <t>Revenue or Expense</t>
  </si>
  <si>
    <t>Amount; expenses stored as negative</t>
  </si>
  <si>
    <t>Originating CSV filename</t>
  </si>
  <si>
    <t>Fund identifier</t>
  </si>
  <si>
    <t>Owning business segment</t>
  </si>
  <si>
    <t>Asset class</t>
  </si>
  <si>
    <t>Market value, 3 decimals</t>
  </si>
  <si>
    <t>Monthly return in percentage points</t>
  </si>
  <si>
    <t>0.45 = 0.45%</t>
  </si>
  <si>
    <t>9.  STATUS LEGEND</t>
  </si>
  <si>
    <t>PASS / OK / ✓ CLEAR</t>
  </si>
  <si>
    <t>Control passed — within tolerance, no action required</t>
  </si>
  <si>
    <t>FLAG</t>
  </si>
  <si>
    <t>Variance exceeds threshold — requires investigation and explanation</t>
  </si>
  <si>
    <t>INVESTIGATE</t>
  </si>
  <si>
    <t>One side is zero or missing — confirm data completeness before flagging</t>
  </si>
  <si>
    <t>FAIL</t>
  </si>
  <si>
    <t>Tie-out break or data quality failure — must resolve before sign-off</t>
  </si>
  <si>
    <t>HIGH (severity)</t>
  </si>
  <si>
    <t>Material impact to financials or controls — escalate immediately</t>
  </si>
  <si>
    <t>MED (severity)</t>
  </si>
  <si>
    <t>Operational impact — resolve within close cycle</t>
  </si>
  <si>
    <t>10.  VERSION &amp; OWNERSHIP</t>
  </si>
  <si>
    <t>Version</t>
  </si>
  <si>
    <t>Finance Data Operations &amp; Analytics</t>
  </si>
  <si>
    <t>Created for</t>
  </si>
  <si>
    <t>SLC Management — monthly close &amp; reporting workflow simulation</t>
  </si>
  <si>
    <t>Data sources</t>
  </si>
  <si>
    <t>Synthetic monthly extracts (AUM, GL, Investments) — modeled after Sun Life's CA$422B AUM disclosure</t>
  </si>
  <si>
    <t>Refresh cadence</t>
  </si>
  <si>
    <t>Monthly (within 5 business days of period end)</t>
  </si>
  <si>
    <t>Audit trail</t>
  </si>
  <si>
    <t>Every raw row carries Source_File for upstream traceability</t>
  </si>
  <si>
    <t>SLC MANAGEMENT</t>
  </si>
  <si>
    <t>Finance Monthly Close &amp; Reporting System</t>
  </si>
  <si>
    <t>End-to-end pipeline simulation: Raw Data → Validation → Reporting</t>
  </si>
  <si>
    <t>WHAT THIS IS</t>
  </si>
  <si>
    <t>A working simulation of the monthly close, validation, and reporting workflow that a Finance Data Analyst on SLC Management's Finance Data Analytics &amp; Insights team would own. The workbook ingests three monthly source feeds — AUM, General Ledger, and fund-level Investments — runs them through a controls layer that surfaces tie-out breaks, variances, and data-quality issues, and presents the results on a leadership-ready dashboard. Every figure on the dashboard traces back through formulas to the raw tables; nothing is hardcoded.</t>
  </si>
  <si>
    <t>AT A GLANCE</t>
  </si>
  <si>
    <t>TOTAL AUM</t>
  </si>
  <si>
    <t>Reporting period total</t>
  </si>
  <si>
    <t>Current vs prior month</t>
  </si>
  <si>
    <t>NET INCOME</t>
  </si>
  <si>
    <t>GL revenue – expenses</t>
  </si>
  <si>
    <t>OPEN EXCEPTIONS</t>
  </si>
  <si>
    <t>Surfaced by controls</t>
  </si>
  <si>
    <t>HOW IT WORKS — DATA PIPELINE</t>
  </si>
  <si>
    <t>1  RAW DATA</t>
  </si>
  <si>
    <t>Three structured tables — tblAUM, tblGL, tblInvestments — append-only monthly feeds with source-file traceability.</t>
  </si>
  <si>
    <t>2  PROCESSED MODEL</t>
  </si>
  <si>
    <t>Parameter-driven SUMIFS rollups by month, segment, and asset class. One source of truth for all reporting.</t>
  </si>
  <si>
    <t>3  CONTROLS</t>
  </si>
  <si>
    <t>9 tie-outs + 6 variance checks + 7 data-quality checks. PASS / FLAG / FAIL surfaced automatically.</t>
  </si>
  <si>
    <t>4  REPORTING</t>
  </si>
  <si>
    <t>KPI dashboard, variance breakdown, and exception register. Everything traces back to raw via formulas.</t>
  </si>
  <si>
    <t>WHAT'S IN THE WORKBOOK</t>
  </si>
  <si>
    <t>What it contains</t>
  </si>
  <si>
    <t>Cover (this sheet)</t>
  </si>
  <si>
    <t>Project overview, KPIs, pipeline, navigation</t>
  </si>
  <si>
    <t>Runbook, controls framework, data dictionary, version log</t>
  </si>
  <si>
    <t>KPI cards, AUM trend, segment mix, GL charts, exception summary</t>
  </si>
  <si>
    <t>Segment × asset class drilldown — current vs prior month</t>
  </si>
  <si>
    <t>Validation</t>
  </si>
  <si>
    <t>9 tie-outs, 6 variance checks, 7 DQ checks, exception register</t>
  </si>
  <si>
    <t>Logic</t>
  </si>
  <si>
    <t>Parameters, monthly rollups, by-segment summaries (SUMIFS)</t>
  </si>
  <si>
    <t>Source Data</t>
  </si>
  <si>
    <t>tblAUM — 24 months × 3 segments × 3 asset classes</t>
  </si>
  <si>
    <t>tblGL — 24 months × 3 segments × 8 accounts</t>
  </si>
  <si>
    <t>tblInvestments — fund-level Market Value &amp; Returns (Aug + Sep 2025)</t>
  </si>
  <si>
    <t>HOW TO USE THIS WORKBOOK</t>
  </si>
  <si>
    <t>DESIGN PRINCIPLES</t>
  </si>
  <si>
    <t>Start at the Dashboard for the top-line view of AUM, revenue, profitability, and any open exceptions.</t>
  </si>
  <si>
    <t>•</t>
  </si>
  <si>
    <t>Automation-first — zero manual edits in the processed/reporting layers. Replace raw, recalc, done.</t>
  </si>
  <si>
    <t>If exceptions are open, jump to Controls to see which checks failed and why; the Exception Register shows severity + owner.</t>
  </si>
  <si>
    <t>Single source of truth — every figure traces back to one of three raw tables via SUMIFS.</t>
  </si>
  <si>
    <t>For a detailed segment-level view, open Variance_Detail — current vs prior month broken down by asset class.</t>
  </si>
  <si>
    <t>Structured Tables — formulas auto-expand as new rows append. No range maintenance needed.</t>
  </si>
  <si>
    <t>To run a new month, append rows to the three Raw_* tables, update parameters on Processed_Model B2:B3, and recalculate.</t>
  </si>
  <si>
    <t>Parameter-driven — change reporting period in two cells and the entire system shifts.</t>
  </si>
  <si>
    <t>See the README for full runbook, controls framework, and data dictionary.</t>
  </si>
  <si>
    <t>Controls baked in — every output validated by tie-outs, variance checks, and DQ rules.</t>
  </si>
  <si>
    <t>GO TO</t>
  </si>
  <si>
    <t>→  DASHBOARD</t>
  </si>
  <si>
    <t>→  CONTROLS</t>
  </si>
  <si>
    <t>→  VARIANCE</t>
  </si>
  <si>
    <t>→  README</t>
  </si>
  <si>
    <t>Built for SLC Management Finance Data Analyst &amp; Insights | Version 1.0 | Owner: Finance Data Operations</t>
  </si>
  <si>
    <t>AUM Mix Chart Helper (Cover/Dashboard)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</si>
</sst>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0"/>
    <numFmt numFmtId="165" formatCode="#,##0.000;\(#,##0.000\);\-"/>
    <numFmt numFmtId="166" formatCode="0.00%;\(0.00%\);\-"/>
    <numFmt numFmtId="167" formatCode="0.00&quot;%&quot;"/>
    <numFmt numFmtId="168" formatCode="0.0%"/>
    <numFmt numFmtId="169" formatCode="0.0&quot;%&quot;"/>
    <numFmt numFmtId="170" formatCode="mmm/yyyy"/>
    <numFmt numFmtId="171" formatCode="#,##0.00;\(#,##0.00\);\-"/>
    <numFmt numFmtId="172" formatCode="0.0%;\(0.0%\);\-"/>
    <numFmt numFmtId="173" formatCode="#,##0;\(#,##0\);\-"/>
    <numFmt numFmtId="174" formatCode="#,##0.0"/>
    <numFmt numFmtId="175" formatCode="\+0.00%;\-0.00%;0.00%"/>
    <numFmt numFmtId="176" formatCode="#,##0.0;\(#,##0.0\)"/>
  </numFmts>
  <fonts count="31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6"/>
      <color rgb="FFFFFFFF"/>
      <name val="Calibri"/>
    </font>
    <font>
      <sz val="11"/>
      <color theme="1"/>
      <name val="Calibri"/>
    </font>
    <font>
      <i/>
      <sz val="11"/>
      <color theme="1"/>
      <name val="Calibri"/>
    </font>
    <font>
      <b/>
      <u/>
      <sz val="11"/>
      <color theme="10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22"/>
      <color theme="1"/>
      <name val="Calibri"/>
    </font>
    <font>
      <i/>
      <sz val="9"/>
      <color theme="1"/>
      <name val="Calibri"/>
    </font>
    <font>
      <u/>
      <sz val="11"/>
      <color theme="10"/>
      <name val="Calibri"/>
    </font>
    <font>
      <b/>
      <sz val="28"/>
      <color rgb="FFFFFFFF"/>
      <name val="Aptos Narrow"/>
      <family val="2"/>
      <scheme val="minor"/>
    </font>
    <font>
      <i/>
      <sz val="13"/>
      <color rgb="FFA8C5E5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595959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b/>
      <u/>
      <sz val="11"/>
      <color rgb="FFFFFFFF"/>
      <name val="Aptos Narrow"/>
      <family val="2"/>
      <scheme val="minor"/>
    </font>
    <font>
      <sz val="9"/>
      <color rgb="FFA8C5E5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B2545"/>
        <bgColor indexed="64"/>
      </patternFill>
    </fill>
    <fill>
      <patternFill patternType="solid">
        <fgColor rgb="FFA6A6A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 style="thin">
        <color rgb="FFBFBFBF"/>
      </right>
      <top/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5">
    <xf numFmtId="0" fontId="0" fillId="0" borderId="0" xfId="0"/>
    <xf numFmtId="164" fontId="0" fillId="0" borderId="0" xfId="0" applyNumberFormat="1"/>
    <xf numFmtId="0" fontId="9" fillId="0" borderId="0" xfId="0" applyFont="1"/>
    <xf numFmtId="0" fontId="11" fillId="3" borderId="0" xfId="1" applyFont="1" applyFill="1" applyAlignment="1">
      <alignment horizontal="center"/>
    </xf>
    <xf numFmtId="0" fontId="12" fillId="2" borderId="0" xfId="0" applyFont="1" applyFill="1"/>
    <xf numFmtId="0" fontId="9" fillId="0" borderId="0" xfId="0" applyFont="1" applyAlignment="1">
      <alignment wrapText="1"/>
    </xf>
    <xf numFmtId="0" fontId="13" fillId="3" borderId="0" xfId="0" applyFont="1" applyFill="1"/>
    <xf numFmtId="0" fontId="9" fillId="0" borderId="7" xfId="0" applyFont="1" applyBorder="1"/>
    <xf numFmtId="0" fontId="9" fillId="0" borderId="7" xfId="0" applyFont="1" applyBorder="1" applyAlignment="1">
      <alignment wrapText="1"/>
    </xf>
    <xf numFmtId="0" fontId="13" fillId="4" borderId="0" xfId="0" applyFont="1" applyFill="1"/>
    <xf numFmtId="0" fontId="13" fillId="0" borderId="7" xfId="0" applyFont="1" applyBorder="1"/>
    <xf numFmtId="14" fontId="9" fillId="0" borderId="7" xfId="0" applyNumberFormat="1" applyFont="1" applyBorder="1"/>
    <xf numFmtId="0" fontId="13" fillId="0" borderId="0" xfId="0" applyFont="1"/>
    <xf numFmtId="0" fontId="14" fillId="10" borderId="8" xfId="0" applyFont="1" applyFill="1" applyBorder="1" applyAlignment="1">
      <alignment horizontal="center"/>
    </xf>
    <xf numFmtId="0" fontId="14" fillId="11" borderId="8" xfId="0" applyFont="1" applyFill="1" applyBorder="1" applyAlignment="1">
      <alignment horizontal="center"/>
    </xf>
    <xf numFmtId="0" fontId="14" fillId="12" borderId="8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13" fillId="6" borderId="0" xfId="0" applyFont="1" applyFill="1"/>
    <xf numFmtId="14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7" fontId="9" fillId="0" borderId="0" xfId="0" applyNumberFormat="1" applyFont="1"/>
    <xf numFmtId="14" fontId="15" fillId="0" borderId="0" xfId="0" applyNumberFormat="1" applyFont="1"/>
    <xf numFmtId="0" fontId="13" fillId="3" borderId="7" xfId="0" applyFont="1" applyFill="1" applyBorder="1"/>
    <xf numFmtId="170" fontId="9" fillId="0" borderId="0" xfId="0" applyNumberFormat="1" applyFont="1"/>
    <xf numFmtId="171" fontId="9" fillId="0" borderId="0" xfId="0" applyNumberFormat="1" applyFont="1"/>
    <xf numFmtId="171" fontId="13" fillId="0" borderId="0" xfId="0" applyNumberFormat="1" applyFont="1"/>
    <xf numFmtId="166" fontId="9" fillId="0" borderId="0" xfId="0" applyNumberFormat="1" applyFont="1"/>
    <xf numFmtId="172" fontId="9" fillId="0" borderId="0" xfId="0" applyNumberFormat="1" applyFont="1"/>
    <xf numFmtId="171" fontId="9" fillId="0" borderId="7" xfId="0" applyNumberFormat="1" applyFont="1" applyBorder="1"/>
    <xf numFmtId="172" fontId="9" fillId="0" borderId="7" xfId="0" applyNumberFormat="1" applyFont="1" applyBorder="1"/>
    <xf numFmtId="168" fontId="15" fillId="0" borderId="0" xfId="0" applyNumberFormat="1" applyFont="1"/>
    <xf numFmtId="169" fontId="15" fillId="0" borderId="0" xfId="0" applyNumberFormat="1" applyFont="1"/>
    <xf numFmtId="0" fontId="15" fillId="0" borderId="0" xfId="0" applyFont="1"/>
    <xf numFmtId="0" fontId="13" fillId="4" borderId="7" xfId="0" applyFont="1" applyFill="1" applyBorder="1"/>
    <xf numFmtId="171" fontId="13" fillId="4" borderId="7" xfId="0" applyNumberFormat="1" applyFont="1" applyFill="1" applyBorder="1"/>
    <xf numFmtId="172" fontId="13" fillId="4" borderId="7" xfId="0" applyNumberFormat="1" applyFont="1" applyFill="1" applyBorder="1"/>
    <xf numFmtId="165" fontId="13" fillId="4" borderId="0" xfId="0" applyNumberFormat="1" applyFont="1" applyFill="1"/>
    <xf numFmtId="165" fontId="9" fillId="0" borderId="7" xfId="0" applyNumberFormat="1" applyFont="1" applyBorder="1"/>
    <xf numFmtId="0" fontId="9" fillId="0" borderId="21" xfId="0" applyFont="1" applyBorder="1"/>
    <xf numFmtId="173" fontId="9" fillId="0" borderId="0" xfId="0" applyNumberFormat="1" applyFont="1"/>
    <xf numFmtId="166" fontId="9" fillId="0" borderId="7" xfId="0" applyNumberFormat="1" applyFont="1" applyBorder="1"/>
    <xf numFmtId="165" fontId="13" fillId="4" borderId="7" xfId="0" applyNumberFormat="1" applyFont="1" applyFill="1" applyBorder="1"/>
    <xf numFmtId="166" fontId="13" fillId="4" borderId="7" xfId="0" applyNumberFormat="1" applyFont="1" applyFill="1" applyBorder="1"/>
    <xf numFmtId="0" fontId="12" fillId="2" borderId="7" xfId="0" applyFont="1" applyFill="1" applyBorder="1"/>
    <xf numFmtId="165" fontId="12" fillId="2" borderId="7" xfId="0" applyNumberFormat="1" applyFont="1" applyFill="1" applyBorder="1"/>
    <xf numFmtId="166" fontId="12" fillId="2" borderId="7" xfId="0" applyNumberFormat="1" applyFont="1" applyFill="1" applyBorder="1"/>
    <xf numFmtId="0" fontId="9" fillId="6" borderId="7" xfId="0" applyFont="1" applyFill="1" applyBorder="1"/>
    <xf numFmtId="171" fontId="9" fillId="6" borderId="7" xfId="0" applyNumberFormat="1" applyFont="1" applyFill="1" applyBorder="1"/>
    <xf numFmtId="166" fontId="9" fillId="6" borderId="7" xfId="0" applyNumberFormat="1" applyFont="1" applyFill="1" applyBorder="1"/>
    <xf numFmtId="0" fontId="13" fillId="3" borderId="8" xfId="0" applyFont="1" applyFill="1" applyBorder="1"/>
    <xf numFmtId="175" fontId="9" fillId="0" borderId="8" xfId="0" applyNumberFormat="1" applyFont="1" applyBorder="1"/>
    <xf numFmtId="1" fontId="9" fillId="0" borderId="7" xfId="0" applyNumberFormat="1" applyFont="1" applyBorder="1" applyAlignment="1">
      <alignment horizontal="center"/>
    </xf>
    <xf numFmtId="175" fontId="13" fillId="4" borderId="8" xfId="0" applyNumberFormat="1" applyFont="1" applyFill="1" applyBorder="1"/>
    <xf numFmtId="1" fontId="13" fillId="4" borderId="7" xfId="0" applyNumberFormat="1" applyFont="1" applyFill="1" applyBorder="1" applyAlignment="1">
      <alignment horizontal="center"/>
    </xf>
    <xf numFmtId="0" fontId="28" fillId="0" borderId="0" xfId="0" applyFont="1" applyAlignment="1">
      <alignment horizontal="center" vertical="top"/>
    </xf>
    <xf numFmtId="0" fontId="13" fillId="3" borderId="11" xfId="0" applyFont="1" applyFill="1" applyBorder="1"/>
    <xf numFmtId="0" fontId="17" fillId="2" borderId="0" xfId="0" applyFont="1" applyFill="1" applyAlignment="1">
      <alignment horizontal="center"/>
    </xf>
    <xf numFmtId="0" fontId="9" fillId="0" borderId="0" xfId="0" applyFont="1"/>
    <xf numFmtId="0" fontId="10" fillId="6" borderId="0" xfId="0" applyFont="1" applyFill="1" applyAlignment="1">
      <alignment horizontal="center"/>
    </xf>
    <xf numFmtId="0" fontId="13" fillId="4" borderId="7" xfId="0" applyFont="1" applyFill="1" applyBorder="1"/>
    <xf numFmtId="0" fontId="12" fillId="2" borderId="7" xfId="0" applyFont="1" applyFill="1" applyBorder="1"/>
    <xf numFmtId="0" fontId="24" fillId="2" borderId="0" xfId="0" applyFont="1" applyFill="1"/>
    <xf numFmtId="0" fontId="0" fillId="0" borderId="0" xfId="0"/>
    <xf numFmtId="0" fontId="29" fillId="5" borderId="33" xfId="1" applyFont="1" applyFill="1" applyBorder="1" applyAlignment="1">
      <alignment horizontal="center" vertical="center"/>
    </xf>
    <xf numFmtId="0" fontId="0" fillId="0" borderId="35" xfId="0" applyBorder="1"/>
    <xf numFmtId="0" fontId="29" fillId="13" borderId="33" xfId="1" applyFont="1" applyFill="1" applyBorder="1" applyAlignment="1">
      <alignment horizontal="center" vertical="center"/>
    </xf>
    <xf numFmtId="0" fontId="29" fillId="8" borderId="33" xfId="1" applyFont="1" applyFill="1" applyBorder="1" applyAlignment="1">
      <alignment horizontal="center" vertical="center"/>
    </xf>
    <xf numFmtId="0" fontId="29" fillId="2" borderId="33" xfId="1" applyFont="1" applyFill="1" applyBorder="1" applyAlignment="1">
      <alignment horizontal="center" vertical="center"/>
    </xf>
    <xf numFmtId="0" fontId="0" fillId="0" borderId="34" xfId="0" applyBorder="1"/>
    <xf numFmtId="0" fontId="30" fillId="14" borderId="0" xfId="0" applyFont="1" applyFill="1" applyAlignment="1">
      <alignment horizontal="center" vertical="center"/>
    </xf>
    <xf numFmtId="0" fontId="25" fillId="0" borderId="0" xfId="0" applyFont="1" applyAlignment="1">
      <alignment vertical="top" wrapText="1"/>
    </xf>
    <xf numFmtId="0" fontId="0" fillId="0" borderId="32" xfId="0" applyBorder="1"/>
    <xf numFmtId="0" fontId="25" fillId="0" borderId="32" xfId="0" applyFont="1" applyBorder="1" applyAlignment="1">
      <alignment vertical="top" wrapText="1"/>
    </xf>
    <xf numFmtId="0" fontId="24" fillId="2" borderId="0" xfId="0" applyFont="1" applyFill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27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25" fillId="0" borderId="23" xfId="0" applyFont="1" applyBorder="1" applyAlignment="1">
      <alignment vertical="center" wrapText="1"/>
    </xf>
    <xf numFmtId="0" fontId="25" fillId="0" borderId="30" xfId="0" applyFont="1" applyBorder="1" applyAlignment="1">
      <alignment vertical="center" wrapText="1"/>
    </xf>
    <xf numFmtId="0" fontId="26" fillId="0" borderId="28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0" fontId="25" fillId="0" borderId="25" xfId="0" applyFont="1" applyBorder="1" applyAlignment="1">
      <alignment vertical="center" wrapText="1"/>
    </xf>
    <xf numFmtId="0" fontId="25" fillId="0" borderId="31" xfId="0" applyFont="1" applyBorder="1" applyAlignment="1">
      <alignment vertical="center" wrapText="1"/>
    </xf>
    <xf numFmtId="0" fontId="25" fillId="0" borderId="23" xfId="0" applyFont="1" applyBorder="1" applyAlignment="1">
      <alignment vertical="center"/>
    </xf>
    <xf numFmtId="0" fontId="25" fillId="0" borderId="30" xfId="0" applyFont="1" applyBorder="1" applyAlignment="1">
      <alignment vertical="center"/>
    </xf>
    <xf numFmtId="0" fontId="26" fillId="3" borderId="26" xfId="0" applyFont="1" applyFill="1" applyBorder="1"/>
    <xf numFmtId="0" fontId="26" fillId="3" borderId="24" xfId="0" applyFont="1" applyFill="1" applyBorder="1"/>
    <xf numFmtId="0" fontId="26" fillId="3" borderId="29" xfId="0" applyFont="1" applyFill="1" applyBorder="1"/>
    <xf numFmtId="0" fontId="25" fillId="6" borderId="11" xfId="0" applyFont="1" applyFill="1" applyBorder="1" applyAlignment="1">
      <alignment horizontal="center" vertical="top" wrapText="1"/>
    </xf>
    <xf numFmtId="0" fontId="0" fillId="0" borderId="5" xfId="0" applyBorder="1"/>
    <xf numFmtId="0" fontId="0" fillId="0" borderId="1" xfId="0" applyBorder="1"/>
    <xf numFmtId="0" fontId="2" fillId="8" borderId="10" xfId="0" applyFont="1" applyFill="1" applyBorder="1" applyAlignment="1">
      <alignment horizontal="center" vertical="center"/>
    </xf>
    <xf numFmtId="0" fontId="0" fillId="0" borderId="3" xfId="0" applyBorder="1"/>
    <xf numFmtId="0" fontId="2" fillId="13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4" xfId="0" applyBorder="1"/>
    <xf numFmtId="0" fontId="6" fillId="6" borderId="15" xfId="0" applyFont="1" applyFill="1" applyBorder="1" applyAlignment="1">
      <alignment horizontal="center"/>
    </xf>
    <xf numFmtId="0" fontId="0" fillId="0" borderId="20" xfId="0" applyBorder="1"/>
    <xf numFmtId="0" fontId="4" fillId="9" borderId="13" xfId="0" applyFont="1" applyFill="1" applyBorder="1" applyAlignment="1">
      <alignment horizontal="center"/>
    </xf>
    <xf numFmtId="0" fontId="0" fillId="0" borderId="16" xfId="0" applyBorder="1"/>
    <xf numFmtId="0" fontId="5" fillId="7" borderId="14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15" borderId="10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left" vertical="top" wrapText="1"/>
    </xf>
    <xf numFmtId="0" fontId="0" fillId="0" borderId="22" xfId="0" applyBorder="1"/>
    <xf numFmtId="0" fontId="4" fillId="2" borderId="13" xfId="0" applyFont="1" applyFill="1" applyBorder="1" applyAlignment="1">
      <alignment horizontal="center"/>
    </xf>
    <xf numFmtId="0" fontId="0" fillId="0" borderId="19" xfId="0" applyBorder="1"/>
    <xf numFmtId="0" fontId="4" fillId="5" borderId="13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16" fillId="14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0" fillId="5" borderId="0" xfId="0" applyFill="1"/>
    <xf numFmtId="0" fontId="1" fillId="14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9" fillId="0" borderId="0" xfId="0" applyFont="1" applyAlignment="1">
      <alignment wrapText="1"/>
    </xf>
    <xf numFmtId="0" fontId="12" fillId="2" borderId="0" xfId="0" applyFont="1" applyFill="1"/>
    <xf numFmtId="0" fontId="9" fillId="0" borderId="2" xfId="0" applyFont="1" applyBorder="1" applyAlignment="1">
      <alignment wrapText="1"/>
    </xf>
    <xf numFmtId="0" fontId="9" fillId="0" borderId="2" xfId="0" applyFont="1" applyBorder="1"/>
    <xf numFmtId="0" fontId="9" fillId="0" borderId="6" xfId="0" applyFont="1" applyBorder="1"/>
    <xf numFmtId="0" fontId="9" fillId="0" borderId="6" xfId="0" applyFont="1" applyBorder="1" applyAlignment="1">
      <alignment wrapText="1"/>
    </xf>
    <xf numFmtId="0" fontId="13" fillId="3" borderId="0" xfId="0" applyFont="1" applyFill="1"/>
    <xf numFmtId="0" fontId="13" fillId="0" borderId="0" xfId="0" applyFont="1"/>
    <xf numFmtId="0" fontId="10" fillId="0" borderId="0" xfId="0" applyFont="1" applyAlignment="1">
      <alignment wrapText="1"/>
    </xf>
    <xf numFmtId="0" fontId="13" fillId="4" borderId="0" xfId="0" applyFont="1" applyFill="1"/>
    <xf numFmtId="0" fontId="8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3" borderId="0" xfId="1" applyFont="1" applyFill="1" applyAlignment="1">
      <alignment horizontal="center"/>
    </xf>
    <xf numFmtId="0" fontId="21" fillId="0" borderId="0" xfId="1" applyFont="1"/>
    <xf numFmtId="0" fontId="20" fillId="6" borderId="15" xfId="0" applyFont="1" applyFill="1" applyBorder="1" applyAlignment="1">
      <alignment horizontal="center"/>
    </xf>
    <xf numFmtId="0" fontId="9" fillId="0" borderId="20" xfId="0" applyFont="1" applyBorder="1"/>
    <xf numFmtId="0" fontId="18" fillId="9" borderId="13" xfId="0" applyFont="1" applyFill="1" applyBorder="1" applyAlignment="1">
      <alignment horizontal="center"/>
    </xf>
    <xf numFmtId="0" fontId="9" fillId="0" borderId="16" xfId="0" applyFont="1" applyBorder="1"/>
    <xf numFmtId="176" fontId="19" fillId="7" borderId="14" xfId="0" applyNumberFormat="1" applyFont="1" applyFill="1" applyBorder="1" applyAlignment="1">
      <alignment horizontal="center" vertical="center"/>
    </xf>
    <xf numFmtId="0" fontId="9" fillId="0" borderId="17" xfId="0" applyFont="1" applyBorder="1"/>
    <xf numFmtId="0" fontId="9" fillId="0" borderId="14" xfId="0" applyFont="1" applyBorder="1"/>
    <xf numFmtId="0" fontId="9" fillId="0" borderId="18" xfId="0" applyFont="1" applyBorder="1"/>
    <xf numFmtId="0" fontId="12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9" fillId="0" borderId="19" xfId="0" applyFont="1" applyBorder="1"/>
    <xf numFmtId="174" fontId="19" fillId="7" borderId="14" xfId="0" applyNumberFormat="1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/>
    </xf>
    <xf numFmtId="175" fontId="19" fillId="7" borderId="14" xfId="0" applyNumberFormat="1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0" fontId="7" fillId="6" borderId="0" xfId="0" applyFont="1" applyFill="1"/>
    <xf numFmtId="0" fontId="16" fillId="5" borderId="0" xfId="0" applyFont="1" applyFill="1" applyAlignment="1">
      <alignment horizontal="center"/>
    </xf>
    <xf numFmtId="0" fontId="12" fillId="5" borderId="0" xfId="0" applyFont="1" applyFill="1"/>
  </cellXfs>
  <cellStyles count="2">
    <cellStyle name="Hyperlink" xfId="1" builtinId="8"/>
    <cellStyle name="Normal" xfId="0" builtinId="0"/>
  </cellStyles>
  <dxfs count="60"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ED7D31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006100"/>
      </font>
    </dxf>
    <dxf>
      <font>
        <b/>
        <i val="0"/>
        <color rgb="FF9C0006"/>
      </font>
    </dxf>
    <dxf>
      <font>
        <b/>
        <i val="0"/>
        <color rgb="FF006100"/>
      </font>
    </dxf>
    <dxf>
      <font>
        <name val="Calibri"/>
      </font>
    </dxf>
    <dxf>
      <font>
        <name val="Calibri"/>
      </font>
      <numFmt numFmtId="167" formatCode="0.00&quot;%&quot;"/>
    </dxf>
    <dxf>
      <font>
        <name val="Calibri"/>
      </font>
      <numFmt numFmtId="164" formatCode="#,##0.00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9" formatCode="yyyy/mm/dd"/>
    </dxf>
    <dxf>
      <font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1F4E78"/>
        </patternFill>
      </fill>
    </dxf>
    <dxf>
      <font>
        <name val="Calibri"/>
      </font>
    </dxf>
    <dxf>
      <font>
        <name val="Calibri"/>
      </font>
      <numFmt numFmtId="165" formatCode="#,##0.000;\(#,##0.000\);\-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9" formatCode="yyyy/mm/dd"/>
    </dxf>
    <dxf>
      <font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1F4E78"/>
        </patternFill>
      </fill>
    </dxf>
    <dxf>
      <font>
        <name val="Calibri"/>
      </font>
    </dxf>
    <dxf>
      <font>
        <name val="Calibri"/>
      </font>
      <numFmt numFmtId="164" formatCode="#,##0.000"/>
    </dxf>
    <dxf>
      <font>
        <name val="Calibri"/>
      </font>
    </dxf>
    <dxf>
      <font>
        <name val="Calibri"/>
      </font>
    </dxf>
    <dxf>
      <font>
        <name val="Calibri"/>
      </font>
      <numFmt numFmtId="19" formatCode="yyyy/mm/dd"/>
    </dxf>
    <dxf>
      <font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1F4E7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AUM Trend — 24 Months (CAD $B)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Processed_Model!$E$2</c:f>
              <c:strCache>
                <c:ptCount val="1"/>
                <c:pt idx="0">
                  <c:v>Asset Management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Processed_Model!$D$3:$D$26</c:f>
              <c:numCache>
                <c:formatCode>mmm/yyyy</c:formatCode>
                <c:ptCount val="24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</c:numCache>
            </c:numRef>
          </c:cat>
          <c:val>
            <c:numRef>
              <c:f>Processed_Model!$E$3:$E$26</c:f>
              <c:numCache>
                <c:formatCode>#,##0.00;\(#,##0.00\);\-</c:formatCode>
                <c:ptCount val="24"/>
                <c:pt idx="0">
                  <c:v>340.03100000000001</c:v>
                </c:pt>
                <c:pt idx="1">
                  <c:v>340.09500000000003</c:v>
                </c:pt>
                <c:pt idx="2">
                  <c:v>340.87</c:v>
                </c:pt>
                <c:pt idx="3">
                  <c:v>343.22399999999999</c:v>
                </c:pt>
                <c:pt idx="4">
                  <c:v>342.71899999999999</c:v>
                </c:pt>
                <c:pt idx="5">
                  <c:v>344.49700000000001</c:v>
                </c:pt>
                <c:pt idx="6">
                  <c:v>347.44400000000002</c:v>
                </c:pt>
                <c:pt idx="7">
                  <c:v>347.23199999999997</c:v>
                </c:pt>
                <c:pt idx="8">
                  <c:v>348.459</c:v>
                </c:pt>
                <c:pt idx="9">
                  <c:v>349.11500000000001</c:v>
                </c:pt>
                <c:pt idx="10">
                  <c:v>352.38300000000004</c:v>
                </c:pt>
                <c:pt idx="11">
                  <c:v>354.37299999999999</c:v>
                </c:pt>
                <c:pt idx="12">
                  <c:v>354.45800000000003</c:v>
                </c:pt>
                <c:pt idx="13">
                  <c:v>355.85</c:v>
                </c:pt>
                <c:pt idx="14">
                  <c:v>357.55600000000004</c:v>
                </c:pt>
                <c:pt idx="15">
                  <c:v>359.858</c:v>
                </c:pt>
                <c:pt idx="16">
                  <c:v>360.67700000000002</c:v>
                </c:pt>
                <c:pt idx="17">
                  <c:v>360.45400000000001</c:v>
                </c:pt>
                <c:pt idx="18">
                  <c:v>364.904</c:v>
                </c:pt>
                <c:pt idx="19">
                  <c:v>364.05900000000003</c:v>
                </c:pt>
                <c:pt idx="20">
                  <c:v>366.71800000000002</c:v>
                </c:pt>
                <c:pt idx="21">
                  <c:v>368.78899999999999</c:v>
                </c:pt>
                <c:pt idx="22">
                  <c:v>370.09100000000001</c:v>
                </c:pt>
                <c:pt idx="23">
                  <c:v>371.54599999999999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F-4767-9E13-CD35E268E6EA}"/>
            </c:ext>
          </c:extLst>
        </c:ser>
        <c:ser>
          <c:idx val="1"/>
          <c:order val="1"/>
          <c:tx>
            <c:strRef>
              <c:f>Processed_Model!$F$2</c:f>
              <c:strCache>
                <c:ptCount val="1"/>
                <c:pt idx="0">
                  <c:v>Wealth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Processed_Model!$D$3:$D$26</c:f>
              <c:numCache>
                <c:formatCode>mmm/yyyy</c:formatCode>
                <c:ptCount val="24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</c:numCache>
            </c:numRef>
          </c:cat>
          <c:val>
            <c:numRef>
              <c:f>Processed_Model!$F$3:$F$26</c:f>
              <c:numCache>
                <c:formatCode>#,##0.00;\(#,##0.00\);\-</c:formatCode>
                <c:ptCount val="24"/>
                <c:pt idx="0">
                  <c:v>56.123000000000005</c:v>
                </c:pt>
                <c:pt idx="1">
                  <c:v>56.550000000000004</c:v>
                </c:pt>
                <c:pt idx="2">
                  <c:v>56.341999999999999</c:v>
                </c:pt>
                <c:pt idx="3">
                  <c:v>56.765999999999998</c:v>
                </c:pt>
                <c:pt idx="4">
                  <c:v>56.978000000000002</c:v>
                </c:pt>
                <c:pt idx="5">
                  <c:v>57.278000000000006</c:v>
                </c:pt>
                <c:pt idx="6">
                  <c:v>57.424999999999997</c:v>
                </c:pt>
                <c:pt idx="7">
                  <c:v>57.630999999999993</c:v>
                </c:pt>
                <c:pt idx="8">
                  <c:v>57.712000000000003</c:v>
                </c:pt>
                <c:pt idx="9">
                  <c:v>58.007000000000005</c:v>
                </c:pt>
                <c:pt idx="10">
                  <c:v>58.238</c:v>
                </c:pt>
                <c:pt idx="11">
                  <c:v>58.811999999999998</c:v>
                </c:pt>
                <c:pt idx="12">
                  <c:v>58.884999999999998</c:v>
                </c:pt>
                <c:pt idx="13">
                  <c:v>59.048000000000002</c:v>
                </c:pt>
                <c:pt idx="14">
                  <c:v>59.051000000000002</c:v>
                </c:pt>
                <c:pt idx="15">
                  <c:v>59.718999999999994</c:v>
                </c:pt>
                <c:pt idx="16">
                  <c:v>59.653999999999996</c:v>
                </c:pt>
                <c:pt idx="17">
                  <c:v>59.808999999999997</c:v>
                </c:pt>
                <c:pt idx="18">
                  <c:v>60.188000000000002</c:v>
                </c:pt>
                <c:pt idx="19">
                  <c:v>60.338000000000001</c:v>
                </c:pt>
                <c:pt idx="20">
                  <c:v>60.65</c:v>
                </c:pt>
                <c:pt idx="21">
                  <c:v>61.09</c:v>
                </c:pt>
                <c:pt idx="22">
                  <c:v>61.037999999999997</c:v>
                </c:pt>
                <c:pt idx="23">
                  <c:v>57.341000000000001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F-4767-9E13-CD35E268E6EA}"/>
            </c:ext>
          </c:extLst>
        </c:ser>
        <c:ser>
          <c:idx val="2"/>
          <c:order val="2"/>
          <c:tx>
            <c:strRef>
              <c:f>Processed_Model!$G$2</c:f>
              <c:strCache>
                <c:ptCount val="1"/>
                <c:pt idx="0">
                  <c:v>Insurance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Processed_Model!$D$3:$D$26</c:f>
              <c:numCache>
                <c:formatCode>mmm/yyyy</c:formatCode>
                <c:ptCount val="24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</c:numCache>
            </c:numRef>
          </c:cat>
          <c:val>
            <c:numRef>
              <c:f>Processed_Model!$G$3:$G$26</c:f>
              <c:numCache>
                <c:formatCode>#,##0.00;\(#,##0.00\);\-</c:formatCode>
                <c:ptCount val="24"/>
                <c:pt idx="0">
                  <c:v>28.010999999999999</c:v>
                </c:pt>
                <c:pt idx="1">
                  <c:v>28.212</c:v>
                </c:pt>
                <c:pt idx="2">
                  <c:v>28.254000000000001</c:v>
                </c:pt>
                <c:pt idx="3">
                  <c:v>28.243000000000002</c:v>
                </c:pt>
                <c:pt idx="4">
                  <c:v>28.525000000000002</c:v>
                </c:pt>
                <c:pt idx="5">
                  <c:v>28.512</c:v>
                </c:pt>
                <c:pt idx="6">
                  <c:v>28.732999999999997</c:v>
                </c:pt>
                <c:pt idx="7">
                  <c:v>28.747</c:v>
                </c:pt>
                <c:pt idx="8">
                  <c:v>28.875</c:v>
                </c:pt>
                <c:pt idx="9">
                  <c:v>29.041</c:v>
                </c:pt>
                <c:pt idx="10">
                  <c:v>28.980999999999998</c:v>
                </c:pt>
                <c:pt idx="11">
                  <c:v>29.270999999999997</c:v>
                </c:pt>
                <c:pt idx="12">
                  <c:v>29.490000000000002</c:v>
                </c:pt>
                <c:pt idx="13">
                  <c:v>29.402000000000001</c:v>
                </c:pt>
                <c:pt idx="14">
                  <c:v>29.557000000000002</c:v>
                </c:pt>
                <c:pt idx="15">
                  <c:v>29.591000000000001</c:v>
                </c:pt>
                <c:pt idx="16">
                  <c:v>29.969000000000001</c:v>
                </c:pt>
                <c:pt idx="17">
                  <c:v>30.064999999999998</c:v>
                </c:pt>
                <c:pt idx="18">
                  <c:v>30.024999999999999</c:v>
                </c:pt>
                <c:pt idx="19">
                  <c:v>30.184000000000001</c:v>
                </c:pt>
                <c:pt idx="20">
                  <c:v>30.334</c:v>
                </c:pt>
                <c:pt idx="21">
                  <c:v>30.623999999999999</c:v>
                </c:pt>
                <c:pt idx="22">
                  <c:v>30.676000000000002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F-4767-9E13-CD35E268E6EA}"/>
            </c:ext>
          </c:extLst>
        </c:ser>
        <c:ser>
          <c:idx val="3"/>
          <c:order val="3"/>
          <c:tx>
            <c:strRef>
              <c:f>Processed_Model!$H$2</c:f>
              <c:strCache>
                <c:ptCount val="1"/>
                <c:pt idx="0">
                  <c:v>Total AUM</c:v>
                </c:pt>
              </c:strCache>
            </c:strRef>
          </c:tx>
          <c:spPr>
            <a:ln w="381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Processed_Model!$D$3:$D$26</c:f>
              <c:numCache>
                <c:formatCode>mmm/yyyy</c:formatCode>
                <c:ptCount val="24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</c:numCache>
            </c:numRef>
          </c:cat>
          <c:val>
            <c:numRef>
              <c:f>Processed_Model!$H$3:$H$26</c:f>
              <c:numCache>
                <c:formatCode>#,##0.00;\(#,##0.00\);\-</c:formatCode>
                <c:ptCount val="24"/>
                <c:pt idx="0">
                  <c:v>424.16500000000002</c:v>
                </c:pt>
                <c:pt idx="1">
                  <c:v>424.85700000000003</c:v>
                </c:pt>
                <c:pt idx="2">
                  <c:v>425.46600000000001</c:v>
                </c:pt>
                <c:pt idx="3">
                  <c:v>428.233</c:v>
                </c:pt>
                <c:pt idx="4">
                  <c:v>428.22199999999998</c:v>
                </c:pt>
                <c:pt idx="5">
                  <c:v>430.28700000000003</c:v>
                </c:pt>
                <c:pt idx="6">
                  <c:v>433.60200000000003</c:v>
                </c:pt>
                <c:pt idx="7">
                  <c:v>433.60999999999996</c:v>
                </c:pt>
                <c:pt idx="8">
                  <c:v>435.04599999999999</c:v>
                </c:pt>
                <c:pt idx="9">
                  <c:v>436.16300000000001</c:v>
                </c:pt>
                <c:pt idx="10">
                  <c:v>439.60200000000003</c:v>
                </c:pt>
                <c:pt idx="11">
                  <c:v>442.45600000000002</c:v>
                </c:pt>
                <c:pt idx="12">
                  <c:v>442.83300000000003</c:v>
                </c:pt>
                <c:pt idx="13">
                  <c:v>444.3</c:v>
                </c:pt>
                <c:pt idx="14">
                  <c:v>446.16400000000004</c:v>
                </c:pt>
                <c:pt idx="15">
                  <c:v>449.16800000000001</c:v>
                </c:pt>
                <c:pt idx="16">
                  <c:v>450.3</c:v>
                </c:pt>
                <c:pt idx="17">
                  <c:v>450.32800000000003</c:v>
                </c:pt>
                <c:pt idx="18">
                  <c:v>455.11699999999996</c:v>
                </c:pt>
                <c:pt idx="19">
                  <c:v>454.58100000000007</c:v>
                </c:pt>
                <c:pt idx="20">
                  <c:v>457.702</c:v>
                </c:pt>
                <c:pt idx="21">
                  <c:v>460.50300000000004</c:v>
                </c:pt>
                <c:pt idx="22">
                  <c:v>461.80500000000001</c:v>
                </c:pt>
                <c:pt idx="23">
                  <c:v>428.887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F-4767-9E13-CD35E268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929647"/>
        <c:axId val="1352930127"/>
      </c:lineChart>
      <c:dateAx>
        <c:axId val="1352929647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30127"/>
        <c:crosses val="autoZero"/>
        <c:auto val="1"/>
        <c:lblOffset val="100"/>
        <c:baseTimeUnit val="months"/>
      </c:dateAx>
      <c:valAx>
        <c:axId val="135293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AUM (CAD $B)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2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&amp; Expenses — 24 Months (CAD 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Processed_Model!$L$2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numRef>
              <c:f>Processed_Model!$K$3:$K$26</c:f>
              <c:numCache>
                <c:formatCode>mmm/yyyy</c:formatCode>
                <c:ptCount val="24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</c:numCache>
            </c:numRef>
          </c:cat>
          <c:val>
            <c:numRef>
              <c:f>Processed_Model!$L$3:$L$26</c:f>
              <c:numCache>
                <c:formatCode>#,##0.00;\(#,##0.00\);\-</c:formatCode>
                <c:ptCount val="24"/>
                <c:pt idx="0">
                  <c:v>145.816</c:v>
                </c:pt>
                <c:pt idx="1">
                  <c:v>142.10299999999995</c:v>
                </c:pt>
                <c:pt idx="2">
                  <c:v>144.99799999999999</c:v>
                </c:pt>
                <c:pt idx="3">
                  <c:v>141.24099999999999</c:v>
                </c:pt>
                <c:pt idx="4">
                  <c:v>145.76599999999999</c:v>
                </c:pt>
                <c:pt idx="5">
                  <c:v>142.95700000000002</c:v>
                </c:pt>
                <c:pt idx="6">
                  <c:v>148.92499999999995</c:v>
                </c:pt>
                <c:pt idx="7">
                  <c:v>148.739</c:v>
                </c:pt>
                <c:pt idx="8">
                  <c:v>145.53199999999998</c:v>
                </c:pt>
                <c:pt idx="9">
                  <c:v>145.34299999999999</c:v>
                </c:pt>
                <c:pt idx="10">
                  <c:v>147.93799999999999</c:v>
                </c:pt>
                <c:pt idx="11">
                  <c:v>147.51400000000004</c:v>
                </c:pt>
                <c:pt idx="12">
                  <c:v>147.36000000000001</c:v>
                </c:pt>
                <c:pt idx="13">
                  <c:v>151.88200000000001</c:v>
                </c:pt>
                <c:pt idx="14">
                  <c:v>143.99</c:v>
                </c:pt>
                <c:pt idx="15">
                  <c:v>147.59100000000001</c:v>
                </c:pt>
                <c:pt idx="16">
                  <c:v>154.327</c:v>
                </c:pt>
                <c:pt idx="17">
                  <c:v>148.29300000000001</c:v>
                </c:pt>
                <c:pt idx="18">
                  <c:v>153.02799999999999</c:v>
                </c:pt>
                <c:pt idx="19">
                  <c:v>151.82300000000001</c:v>
                </c:pt>
                <c:pt idx="20">
                  <c:v>150.68599999999998</c:v>
                </c:pt>
                <c:pt idx="21">
                  <c:v>154.61899999999997</c:v>
                </c:pt>
                <c:pt idx="22">
                  <c:v>149.16800000000001</c:v>
                </c:pt>
                <c:pt idx="23">
                  <c:v>155.42899999999997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A-4150-BF1B-733D6840E7AF}"/>
            </c:ext>
          </c:extLst>
        </c:ser>
        <c:ser>
          <c:idx val="1"/>
          <c:order val="1"/>
          <c:tx>
            <c:strRef>
              <c:f>Processed_Model!$M$2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Processed_Model!$K$3:$K$26</c:f>
              <c:numCache>
                <c:formatCode>mmm/yyyy</c:formatCode>
                <c:ptCount val="24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</c:numCache>
            </c:numRef>
          </c:cat>
          <c:val>
            <c:numRef>
              <c:f>Processed_Model!$M$3:$M$26</c:f>
              <c:numCache>
                <c:formatCode>#,##0.00;\(#,##0.00\);\-</c:formatCode>
                <c:ptCount val="24"/>
                <c:pt idx="0">
                  <c:v>83.563999999999993</c:v>
                </c:pt>
                <c:pt idx="1">
                  <c:v>83.483999999999995</c:v>
                </c:pt>
                <c:pt idx="2">
                  <c:v>85.784999999999982</c:v>
                </c:pt>
                <c:pt idx="3">
                  <c:v>85.38300000000001</c:v>
                </c:pt>
                <c:pt idx="4">
                  <c:v>82.442999999999998</c:v>
                </c:pt>
                <c:pt idx="5">
                  <c:v>84.86699999999999</c:v>
                </c:pt>
                <c:pt idx="6">
                  <c:v>87.034999999999982</c:v>
                </c:pt>
                <c:pt idx="7">
                  <c:v>85.026000000000025</c:v>
                </c:pt>
                <c:pt idx="8">
                  <c:v>84.187999999999988</c:v>
                </c:pt>
                <c:pt idx="9">
                  <c:v>86.697000000000017</c:v>
                </c:pt>
                <c:pt idx="10">
                  <c:v>85.33</c:v>
                </c:pt>
                <c:pt idx="11">
                  <c:v>85.638000000000005</c:v>
                </c:pt>
                <c:pt idx="12">
                  <c:v>85.076999999999998</c:v>
                </c:pt>
                <c:pt idx="13">
                  <c:v>88.658000000000015</c:v>
                </c:pt>
                <c:pt idx="14">
                  <c:v>85.981999999999999</c:v>
                </c:pt>
                <c:pt idx="15">
                  <c:v>86.392999999999972</c:v>
                </c:pt>
                <c:pt idx="16">
                  <c:v>87.499000000000009</c:v>
                </c:pt>
                <c:pt idx="17">
                  <c:v>88.623999999999967</c:v>
                </c:pt>
                <c:pt idx="18">
                  <c:v>90.820000000000007</c:v>
                </c:pt>
                <c:pt idx="19">
                  <c:v>88.483000000000004</c:v>
                </c:pt>
                <c:pt idx="20">
                  <c:v>90.535000000000025</c:v>
                </c:pt>
                <c:pt idx="21">
                  <c:v>87.669999999999987</c:v>
                </c:pt>
                <c:pt idx="22">
                  <c:v>90.282999999999987</c:v>
                </c:pt>
                <c:pt idx="23">
                  <c:v>91.200999999999979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A-4150-BF1B-733D6840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469391"/>
        <c:axId val="1745457871"/>
      </c:barChart>
      <c:dateAx>
        <c:axId val="1745469391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57871"/>
        <c:crosses val="autoZero"/>
        <c:auto val="1"/>
        <c:lblOffset val="100"/>
        <c:baseTimeUnit val="months"/>
      </c:dateAx>
      <c:valAx>
        <c:axId val="174545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6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Mix by Segment — Current Month (CAD 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Processed_Model!$W$2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Processed_Model!$V$3:$V$5</c:f>
              <c:strCache>
                <c:ptCount val="3"/>
                <c:pt idx="0">
                  <c:v>Asset Management</c:v>
                </c:pt>
                <c:pt idx="1">
                  <c:v>Wealth</c:v>
                </c:pt>
                <c:pt idx="2">
                  <c:v>Insurance</c:v>
                </c:pt>
              </c:strCache>
            </c:strRef>
          </c:cat>
          <c:val>
            <c:numRef>
              <c:f>Processed_Model!$W$3:$W$5</c:f>
              <c:numCache>
                <c:formatCode>#,##0.00;\(#,##0.00\);\-</c:formatCode>
                <c:ptCount val="3"/>
                <c:pt idx="0">
                  <c:v>123</c:v>
                </c:pt>
                <c:pt idx="1">
                  <c:v>22.402999999999999</c:v>
                </c:pt>
                <c:pt idx="2">
                  <c:v>10.026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1-49F6-89D7-D0A1F20A7BE5}"/>
            </c:ext>
          </c:extLst>
        </c:ser>
        <c:ser>
          <c:idx val="1"/>
          <c:order val="1"/>
          <c:tx>
            <c:strRef>
              <c:f>Processed_Model!$X$2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Processed_Model!$V$3:$V$5</c:f>
              <c:strCache>
                <c:ptCount val="3"/>
                <c:pt idx="0">
                  <c:v>Asset Management</c:v>
                </c:pt>
                <c:pt idx="1">
                  <c:v>Wealth</c:v>
                </c:pt>
                <c:pt idx="2">
                  <c:v>Insurance</c:v>
                </c:pt>
              </c:strCache>
            </c:strRef>
          </c:cat>
          <c:val>
            <c:numRef>
              <c:f>Processed_Model!$X$3:$X$5</c:f>
              <c:numCache>
                <c:formatCode>#,##0.00;\(#,##0.00\);\-</c:formatCode>
                <c:ptCount val="3"/>
                <c:pt idx="0">
                  <c:v>64.731000000000009</c:v>
                </c:pt>
                <c:pt idx="1">
                  <c:v>19.085999999999999</c:v>
                </c:pt>
                <c:pt idx="2">
                  <c:v>7.3839999999999995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1-49F6-89D7-D0A1F20A7BE5}"/>
            </c:ext>
          </c:extLst>
        </c:ser>
        <c:ser>
          <c:idx val="2"/>
          <c:order val="2"/>
          <c:tx>
            <c:strRef>
              <c:f>Processed_Model!$Y$2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Processed_Model!$V$3:$V$5</c:f>
              <c:strCache>
                <c:ptCount val="3"/>
                <c:pt idx="0">
                  <c:v>Asset Management</c:v>
                </c:pt>
                <c:pt idx="1">
                  <c:v>Wealth</c:v>
                </c:pt>
                <c:pt idx="2">
                  <c:v>Insurance</c:v>
                </c:pt>
              </c:strCache>
            </c:strRef>
          </c:cat>
          <c:val>
            <c:numRef>
              <c:f>Processed_Model!$Y$3:$Y$5</c:f>
              <c:numCache>
                <c:formatCode>#,##0.00;\(#,##0.00\);\-</c:formatCode>
                <c:ptCount val="3"/>
                <c:pt idx="0">
                  <c:v>58.268999999999991</c:v>
                </c:pt>
                <c:pt idx="1">
                  <c:v>3.3170000000000002</c:v>
                </c:pt>
                <c:pt idx="2">
                  <c:v>2.6420000000000003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11-49F6-89D7-D0A1F20A7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5469871"/>
        <c:axId val="1745462671"/>
      </c:barChart>
      <c:catAx>
        <c:axId val="174546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62671"/>
        <c:crosses val="autoZero"/>
        <c:auto val="1"/>
        <c:lblAlgn val="ctr"/>
        <c:lblOffset val="100"/>
        <c:noMultiLvlLbl val="0"/>
      </c:catAx>
      <c:valAx>
        <c:axId val="174546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6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AUM Mix by Segment — Current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Processed_Model!$AI$2</c:f>
              <c:strCache>
                <c:ptCount val="1"/>
                <c:pt idx="0">
                  <c:v>Current ($B)</c:v>
                </c:pt>
              </c:strCache>
            </c:strRef>
          </c:tx>
          <c:dPt>
            <c:idx val="0"/>
            <c:bubble3D val="0"/>
            <c:spPr>
              <a:solidFill>
                <a:srgbClr val="1F4E7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5A-4941-983A-5556D8DD4345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95A-4941-983A-5556D8DD4345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5A-4941-983A-5556D8DD4345}"/>
              </c:ext>
            </c:extLst>
          </c:dPt>
          <c:dLbls>
            <c:numFmt formatCode="&quot;$&quot;#,##0.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: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Processed_Model!$AH$3:$AH$5</c:f>
              <c:strCache>
                <c:ptCount val="3"/>
                <c:pt idx="0">
                  <c:v>Asset Management</c:v>
                </c:pt>
                <c:pt idx="1">
                  <c:v>Wealth</c:v>
                </c:pt>
                <c:pt idx="2">
                  <c:v>Insurance (no data)</c:v>
                </c:pt>
              </c:strCache>
            </c:strRef>
          </c:cat>
          <c:val>
            <c:numRef>
              <c:f>Processed_Model!$AI$3:$AI$5</c:f>
              <c:numCache>
                <c:formatCode>#,##0.000</c:formatCode>
                <c:ptCount val="3"/>
                <c:pt idx="0">
                  <c:v>371.54599999999999</c:v>
                </c:pt>
                <c:pt idx="1">
                  <c:v>57.341000000000001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A-4941-983A-5556D8DD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E08D6-FACC-3B4B-10A5-219B13BE1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4</xdr:col>
      <xdr:colOff>0</xdr:colOff>
      <xdr:row>49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DAF271-922F-048B-BC01-E4E4D6076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431D1C-FB89-D4CE-9D8F-4DDED8ABA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ACDADF-3F21-D371-9942-AED6F67C8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6A372-4769-4107-B56B-8A8BB829F48F}" name="tblAUM" displayName="tblAUM" ref="A1:E214" totalsRowShown="0" headerRowDxfId="59" dataDxfId="58">
  <autoFilter ref="A1:E214" xr:uid="{3426A372-4769-4107-B56B-8A8BB829F48F}"/>
  <tableColumns count="5">
    <tableColumn id="1" xr3:uid="{5859BA55-5B37-4154-8BA2-E1E45DBA0B61}" name="Date" dataDxfId="57"/>
    <tableColumn id="2" xr3:uid="{BD89C5E8-0A5C-4A27-90BF-3C4BEC77981C}" name="Segment" dataDxfId="56"/>
    <tableColumn id="3" xr3:uid="{699C0F7A-B156-4166-9F53-90764C6DCD57}" name="Asset_Class" dataDxfId="55"/>
    <tableColumn id="4" xr3:uid="{CEE10E65-73E4-459C-BD30-835B180E1B92}" name="AUM_CAD_Billions" dataDxfId="54"/>
    <tableColumn id="5" xr3:uid="{449A2F09-ABFA-4DCB-B35D-95EEECD6F388}" name="Source_File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660FD5-BE47-4791-A375-04D16523EDF5}" name="tblGL" displayName="tblGL" ref="A1:G577" totalsRowShown="0" headerRowDxfId="52" dataDxfId="51">
  <autoFilter ref="A1:G577" xr:uid="{2A660FD5-BE47-4791-A375-04D16523EDF5}"/>
  <tableColumns count="7">
    <tableColumn id="1" xr3:uid="{B625DAFB-A576-4B8F-A16E-61B652C36AEF}" name="Date" dataDxfId="50"/>
    <tableColumn id="2" xr3:uid="{A57BC31E-4D4D-4C13-9B3B-D70F3DA0C4C5}" name="Segment" dataDxfId="49"/>
    <tableColumn id="3" xr3:uid="{847C0C6F-7C17-45C9-B36D-45A942B5E73B}" name="Account_Code" dataDxfId="48"/>
    <tableColumn id="4" xr3:uid="{B3625AE8-D8BB-42A4-83B1-7D6F43A265D4}" name="Account_Name" dataDxfId="47"/>
    <tableColumn id="5" xr3:uid="{FACDBFDA-707F-4F72-B03C-35ABA899798F}" name="Type" dataDxfId="46"/>
    <tableColumn id="6" xr3:uid="{8744DED3-1104-4AA1-A7B7-63D537BC1870}" name="Amount_CAD_Millions" dataDxfId="45"/>
    <tableColumn id="7" xr3:uid="{88E7A5D1-8F0B-4A8C-B3B3-20EA4D2F40E7}" name="Source_File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89BAA1-4C7D-4B38-917B-D08401E1CB3F}" name="tblInvestments" displayName="tblInvestments" ref="A1:G40" totalsRowShown="0" headerRowDxfId="43" dataDxfId="42">
  <autoFilter ref="A1:G40" xr:uid="{FB89BAA1-4C7D-4B38-917B-D08401E1CB3F}"/>
  <tableColumns count="7">
    <tableColumn id="1" xr3:uid="{D5B4E0CD-9E6C-4861-AEDC-9B3A8A134E23}" name="Date" dataDxfId="41"/>
    <tableColumn id="2" xr3:uid="{53FB6197-AF57-4B77-83D2-6C824E1B5168}" name="Fund_Name" dataDxfId="40"/>
    <tableColumn id="3" xr3:uid="{1D5873BB-2E00-4E30-AD6B-EA8AB6C84057}" name="Segment" dataDxfId="39"/>
    <tableColumn id="4" xr3:uid="{1B9FF121-CA19-4063-90E3-AF0168761238}" name="Asset_Class" dataDxfId="38"/>
    <tableColumn id="5" xr3:uid="{B0F0216D-F047-4DBC-A6D0-6A5AD94D09DF}" name="Market_Value_CAD_Billions" dataDxfId="37"/>
    <tableColumn id="6" xr3:uid="{70113035-DCB1-412D-86E4-544479AF10AF}" name="Return_Pct" dataDxfId="36"/>
    <tableColumn id="7" xr3:uid="{F6948EE7-3733-4C97-ACA7-399EBF43FA2E}" name="Source_File" dataDxf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90E3978-9FE9-4C26-9E30-B4CC785B4319}">
  <we:reference id="wa200009404" version="1.0.0.8" store="en-CA" storeType="OMEX"/>
  <we:alternateReferences>
    <we:reference id="wa200009404" version="1.0.0.8" store="WA200009404" storeType="OMEX"/>
  </we:alternateReferences>
  <we:properties>
    <we:property name="claude.fileId" value="&quot;154d784d-90a6-44e8-8c97-4996cf4976d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79D220-6D0E-4D9E-9CFF-62EDF357D58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l7A2MEoQJlxwslO9AzPAx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2A47-BF7F-42AA-AD84-D0A2E1270997}">
  <sheetPr>
    <tabColor rgb="FF1F4E78"/>
  </sheetPr>
  <dimension ref="B1:I43"/>
  <sheetViews>
    <sheetView topLeftCell="A40" workbookViewId="0"/>
  </sheetViews>
  <sheetFormatPr defaultRowHeight="14.4" x14ac:dyDescent="0.3"/>
  <cols>
    <col min="1" max="10" width="16.33203125" customWidth="1"/>
  </cols>
  <sheetData>
    <row r="1" spans="2:9" ht="12" customHeight="1" x14ac:dyDescent="0.3"/>
    <row r="2" spans="2:9" ht="30" customHeight="1" x14ac:dyDescent="0.3">
      <c r="B2" s="116" t="s">
        <v>393</v>
      </c>
      <c r="C2" s="64"/>
      <c r="D2" s="64"/>
      <c r="E2" s="64"/>
      <c r="F2" s="64"/>
      <c r="G2" s="64"/>
      <c r="H2" s="64"/>
      <c r="I2" s="64"/>
    </row>
    <row r="3" spans="2:9" ht="49.95" customHeight="1" x14ac:dyDescent="0.3">
      <c r="B3" s="117" t="s">
        <v>394</v>
      </c>
      <c r="C3" s="64"/>
      <c r="D3" s="64"/>
      <c r="E3" s="64"/>
      <c r="F3" s="64"/>
      <c r="G3" s="64"/>
      <c r="H3" s="64"/>
      <c r="I3" s="64"/>
    </row>
    <row r="4" spans="2:9" ht="28.05" customHeight="1" x14ac:dyDescent="0.3">
      <c r="B4" s="118" t="s">
        <v>395</v>
      </c>
      <c r="C4" s="64"/>
      <c r="D4" s="64"/>
      <c r="E4" s="64"/>
      <c r="F4" s="64"/>
      <c r="G4" s="64"/>
      <c r="H4" s="64"/>
      <c r="I4" s="64"/>
    </row>
    <row r="5" spans="2:9" ht="6" customHeight="1" x14ac:dyDescent="0.3">
      <c r="B5" s="119"/>
      <c r="C5" s="64"/>
      <c r="D5" s="64"/>
      <c r="E5" s="64"/>
      <c r="F5" s="64"/>
      <c r="G5" s="64"/>
      <c r="H5" s="64"/>
      <c r="I5" s="64"/>
    </row>
    <row r="6" spans="2:9" ht="24" customHeight="1" x14ac:dyDescent="0.3">
      <c r="B6" s="120" t="str">
        <f>"Reporting Period: "&amp;TEXT(Processed_Model!B2,"mmmm yyyy")&amp;"  •  Prior: "&amp;TEXT(Processed_Model!B3,"mmmm yyyy")&amp;"  •  Built by Finance Data Operations"</f>
        <v>Reporting Period: September 2025  •  Prior: August 2025  •  Built by Finance Data Operations</v>
      </c>
      <c r="C6" s="64"/>
      <c r="D6" s="64"/>
      <c r="E6" s="64"/>
      <c r="F6" s="64"/>
      <c r="G6" s="64"/>
      <c r="H6" s="64"/>
      <c r="I6" s="64"/>
    </row>
    <row r="7" spans="2:9" ht="18" customHeight="1" x14ac:dyDescent="0.3"/>
    <row r="8" spans="2:9" ht="24" customHeight="1" x14ac:dyDescent="0.3">
      <c r="B8" s="121" t="s">
        <v>396</v>
      </c>
      <c r="C8" s="64"/>
      <c r="D8" s="64"/>
      <c r="E8" s="64"/>
      <c r="F8" s="64"/>
      <c r="G8" s="64"/>
      <c r="H8" s="64"/>
      <c r="I8" s="64"/>
    </row>
    <row r="9" spans="2:9" ht="78" customHeight="1" x14ac:dyDescent="0.3">
      <c r="B9" s="110" t="s">
        <v>397</v>
      </c>
      <c r="C9" s="111"/>
      <c r="D9" s="111"/>
      <c r="E9" s="111"/>
      <c r="F9" s="111"/>
      <c r="G9" s="111"/>
      <c r="H9" s="111"/>
      <c r="I9" s="111"/>
    </row>
    <row r="10" spans="2:9" ht="13.95" customHeight="1" x14ac:dyDescent="0.3"/>
    <row r="11" spans="2:9" ht="24" customHeight="1" thickBot="1" x14ac:dyDescent="0.35">
      <c r="B11" s="63" t="s">
        <v>398</v>
      </c>
      <c r="C11" s="64"/>
      <c r="D11" s="64"/>
      <c r="E11" s="64"/>
      <c r="F11" s="64"/>
      <c r="G11" s="64"/>
      <c r="H11" s="64"/>
      <c r="I11" s="64"/>
    </row>
    <row r="12" spans="2:9" ht="22.05" customHeight="1" thickTop="1" x14ac:dyDescent="0.3">
      <c r="B12" s="112" t="s">
        <v>399</v>
      </c>
      <c r="C12" s="113"/>
      <c r="D12" s="114" t="s">
        <v>201</v>
      </c>
      <c r="E12" s="113"/>
      <c r="F12" s="115" t="s">
        <v>402</v>
      </c>
      <c r="G12" s="113"/>
      <c r="H12" s="104" t="s">
        <v>404</v>
      </c>
      <c r="I12" s="105"/>
    </row>
    <row r="13" spans="2:9" ht="37.950000000000003" customHeight="1" x14ac:dyDescent="0.3">
      <c r="B13" s="106" t="str">
        <f>"$"&amp;TEXT(SUMIFS(tblAUM[AUM_CAD_Billions],tblAUM[Date],Processed_Model!B2),"#,##0.0")&amp;"B"</f>
        <v>$428.9B</v>
      </c>
      <c r="C13" s="64"/>
      <c r="D13" s="106" t="str">
        <f>TEXT(IFERROR(SUMIFS(tblAUM[AUM_CAD_Billions],tblAUM[Date],Processed_Model!B2)/SUMIFS(tblAUM[AUM_CAD_Billions],tblAUM[Date],Processed_Model!B3)-1,0),"+0.00%;-0.00%")</f>
        <v>-7.13%</v>
      </c>
      <c r="E13" s="64"/>
      <c r="F13" s="106" t="str">
        <f>"$"&amp;TEXT(SUMIFS(tblGL[Amount_CAD_Millions],tblGL[Date],Processed_Model!B2),"#,##0.0")&amp;"M"</f>
        <v>$64.2M</v>
      </c>
      <c r="G13" s="64"/>
      <c r="H13" s="106" cm="1">
        <f t="array" ref="H13">COUNTIF(Controls!G6:G14,"FAIL")+COUNTIFS(Controls!G18:G23,"FLAG")+COUNTIFS(Controls!G18:G23,"INVESTIGATE")+SUMPRODUCT(--ISNUMBER(SEARCH("FAIL",Controls!G27:G33)))</f>
        <v>10</v>
      </c>
      <c r="I13" s="107"/>
    </row>
    <row r="14" spans="2:9" ht="19.95" customHeight="1" thickBot="1" x14ac:dyDescent="0.35">
      <c r="B14" s="102" t="s">
        <v>400</v>
      </c>
      <c r="C14" s="103"/>
      <c r="D14" s="102" t="s">
        <v>401</v>
      </c>
      <c r="E14" s="103"/>
      <c r="F14" s="102" t="s">
        <v>403</v>
      </c>
      <c r="G14" s="103"/>
      <c r="H14" s="102" t="s">
        <v>405</v>
      </c>
      <c r="I14" s="108"/>
    </row>
    <row r="15" spans="2:9" ht="13.95" customHeight="1" thickTop="1" x14ac:dyDescent="0.3"/>
    <row r="16" spans="2:9" ht="24" customHeight="1" x14ac:dyDescent="0.3">
      <c r="B16" s="63" t="s">
        <v>406</v>
      </c>
      <c r="C16" s="64"/>
      <c r="D16" s="64"/>
      <c r="E16" s="64"/>
      <c r="F16" s="64"/>
      <c r="G16" s="64"/>
      <c r="H16" s="64"/>
      <c r="I16" s="64"/>
    </row>
    <row r="17" spans="2:9" ht="24" customHeight="1" x14ac:dyDescent="0.3">
      <c r="B17" s="109" t="s">
        <v>407</v>
      </c>
      <c r="C17" s="96"/>
      <c r="D17" s="95" t="s">
        <v>409</v>
      </c>
      <c r="E17" s="96"/>
      <c r="F17" s="97" t="s">
        <v>411</v>
      </c>
      <c r="G17" s="96"/>
      <c r="H17" s="98" t="s">
        <v>413</v>
      </c>
      <c r="I17" s="99"/>
    </row>
    <row r="18" spans="2:9" ht="30" customHeight="1" x14ac:dyDescent="0.3">
      <c r="B18" s="92" t="s">
        <v>408</v>
      </c>
      <c r="C18" s="64"/>
      <c r="D18" s="92" t="s">
        <v>410</v>
      </c>
      <c r="E18" s="64"/>
      <c r="F18" s="92" t="s">
        <v>412</v>
      </c>
      <c r="G18" s="64"/>
      <c r="H18" s="92" t="s">
        <v>414</v>
      </c>
      <c r="I18" s="100"/>
    </row>
    <row r="19" spans="2:9" ht="30" customHeight="1" x14ac:dyDescent="0.3">
      <c r="B19" s="93"/>
      <c r="C19" s="94"/>
      <c r="D19" s="93"/>
      <c r="E19" s="94"/>
      <c r="F19" s="93"/>
      <c r="G19" s="94"/>
      <c r="H19" s="93"/>
      <c r="I19" s="101"/>
    </row>
    <row r="20" spans="2:9" ht="13.95" customHeight="1" x14ac:dyDescent="0.3"/>
    <row r="21" spans="2:9" ht="24" customHeight="1" x14ac:dyDescent="0.3">
      <c r="B21" s="63" t="s">
        <v>415</v>
      </c>
      <c r="C21" s="64"/>
      <c r="D21" s="64"/>
      <c r="E21" s="64"/>
      <c r="F21" s="64"/>
      <c r="G21" s="64"/>
      <c r="H21" s="64"/>
      <c r="I21" s="64"/>
    </row>
    <row r="22" spans="2:9" ht="22.05" customHeight="1" x14ac:dyDescent="0.3">
      <c r="B22" s="89" t="s">
        <v>234</v>
      </c>
      <c r="C22" s="90"/>
      <c r="D22" s="90" t="s">
        <v>235</v>
      </c>
      <c r="E22" s="90"/>
      <c r="F22" s="90" t="s">
        <v>416</v>
      </c>
      <c r="G22" s="90"/>
      <c r="H22" s="90"/>
      <c r="I22" s="91"/>
    </row>
    <row r="23" spans="2:9" ht="22.05" customHeight="1" x14ac:dyDescent="0.3">
      <c r="B23" s="77" t="s">
        <v>417</v>
      </c>
      <c r="C23" s="87"/>
      <c r="D23" s="79" t="s">
        <v>240</v>
      </c>
      <c r="E23" s="87"/>
      <c r="F23" s="80" t="s">
        <v>418</v>
      </c>
      <c r="G23" s="87"/>
      <c r="H23" s="87"/>
      <c r="I23" s="88"/>
    </row>
    <row r="24" spans="2:9" ht="22.05" customHeight="1" x14ac:dyDescent="0.3">
      <c r="B24" s="77" t="s">
        <v>239</v>
      </c>
      <c r="C24" s="87"/>
      <c r="D24" s="79" t="s">
        <v>240</v>
      </c>
      <c r="E24" s="87"/>
      <c r="F24" s="80" t="s">
        <v>419</v>
      </c>
      <c r="G24" s="87"/>
      <c r="H24" s="87"/>
      <c r="I24" s="88"/>
    </row>
    <row r="25" spans="2:9" ht="22.05" customHeight="1" x14ac:dyDescent="0.3">
      <c r="B25" s="77" t="s">
        <v>262</v>
      </c>
      <c r="C25" s="87"/>
      <c r="D25" s="79" t="s">
        <v>260</v>
      </c>
      <c r="E25" s="87"/>
      <c r="F25" s="80" t="s">
        <v>420</v>
      </c>
      <c r="G25" s="87"/>
      <c r="H25" s="87"/>
      <c r="I25" s="88"/>
    </row>
    <row r="26" spans="2:9" ht="22.05" customHeight="1" x14ac:dyDescent="0.3">
      <c r="B26" s="77" t="s">
        <v>259</v>
      </c>
      <c r="C26" s="78"/>
      <c r="D26" s="79" t="s">
        <v>260</v>
      </c>
      <c r="E26" s="79"/>
      <c r="F26" s="80" t="s">
        <v>421</v>
      </c>
      <c r="G26" s="80"/>
      <c r="H26" s="80"/>
      <c r="I26" s="81"/>
    </row>
    <row r="27" spans="2:9" ht="22.05" customHeight="1" x14ac:dyDescent="0.3">
      <c r="B27" s="77" t="s">
        <v>257</v>
      </c>
      <c r="C27" s="78"/>
      <c r="D27" s="79" t="s">
        <v>422</v>
      </c>
      <c r="E27" s="79"/>
      <c r="F27" s="80" t="s">
        <v>423</v>
      </c>
      <c r="G27" s="80"/>
      <c r="H27" s="80"/>
      <c r="I27" s="81"/>
    </row>
    <row r="28" spans="2:9" ht="22.05" customHeight="1" x14ac:dyDescent="0.3">
      <c r="B28" s="77" t="s">
        <v>253</v>
      </c>
      <c r="C28" s="78"/>
      <c r="D28" s="79" t="s">
        <v>424</v>
      </c>
      <c r="E28" s="79"/>
      <c r="F28" s="80" t="s">
        <v>425</v>
      </c>
      <c r="G28" s="80"/>
      <c r="H28" s="80"/>
      <c r="I28" s="81"/>
    </row>
    <row r="29" spans="2:9" ht="22.05" customHeight="1" x14ac:dyDescent="0.3">
      <c r="B29" s="77" t="s">
        <v>244</v>
      </c>
      <c r="C29" s="78"/>
      <c r="D29" s="79" t="s">
        <v>426</v>
      </c>
      <c r="E29" s="79"/>
      <c r="F29" s="80" t="s">
        <v>427</v>
      </c>
      <c r="G29" s="80"/>
      <c r="H29" s="80"/>
      <c r="I29" s="81"/>
    </row>
    <row r="30" spans="2:9" ht="22.05" customHeight="1" x14ac:dyDescent="0.3">
      <c r="B30" s="77" t="s">
        <v>249</v>
      </c>
      <c r="C30" s="78"/>
      <c r="D30" s="79" t="s">
        <v>426</v>
      </c>
      <c r="E30" s="79"/>
      <c r="F30" s="80" t="s">
        <v>428</v>
      </c>
      <c r="G30" s="80"/>
      <c r="H30" s="80"/>
      <c r="I30" s="81"/>
    </row>
    <row r="31" spans="2:9" ht="22.05" customHeight="1" x14ac:dyDescent="0.3">
      <c r="B31" s="82" t="s">
        <v>251</v>
      </c>
      <c r="C31" s="83"/>
      <c r="D31" s="84" t="s">
        <v>426</v>
      </c>
      <c r="E31" s="84"/>
      <c r="F31" s="85" t="s">
        <v>429</v>
      </c>
      <c r="G31" s="85"/>
      <c r="H31" s="85"/>
      <c r="I31" s="86"/>
    </row>
    <row r="32" spans="2:9" ht="13.95" customHeight="1" x14ac:dyDescent="0.3"/>
    <row r="33" spans="2:9" ht="24" customHeight="1" x14ac:dyDescent="0.3">
      <c r="B33" s="63" t="s">
        <v>430</v>
      </c>
      <c r="C33" s="64"/>
      <c r="D33" s="64"/>
      <c r="E33" s="73"/>
      <c r="F33" s="75" t="s">
        <v>431</v>
      </c>
      <c r="G33" s="76"/>
      <c r="H33" s="76"/>
      <c r="I33" s="76"/>
    </row>
    <row r="34" spans="2:9" ht="31.95" customHeight="1" x14ac:dyDescent="0.3">
      <c r="B34" s="56">
        <v>1</v>
      </c>
      <c r="C34" s="72" t="s">
        <v>432</v>
      </c>
      <c r="D34" s="64"/>
      <c r="E34" s="73"/>
      <c r="F34" s="56" t="s">
        <v>433</v>
      </c>
      <c r="G34" s="72" t="s">
        <v>434</v>
      </c>
      <c r="H34" s="64"/>
      <c r="I34" s="64"/>
    </row>
    <row r="35" spans="2:9" ht="31.95" customHeight="1" x14ac:dyDescent="0.3">
      <c r="B35" s="56">
        <v>2</v>
      </c>
      <c r="C35" s="72" t="s">
        <v>435</v>
      </c>
      <c r="D35" s="64"/>
      <c r="E35" s="73"/>
      <c r="F35" s="56" t="s">
        <v>433</v>
      </c>
      <c r="G35" s="72" t="s">
        <v>436</v>
      </c>
      <c r="H35" s="64"/>
      <c r="I35" s="64"/>
    </row>
    <row r="36" spans="2:9" ht="31.95" customHeight="1" x14ac:dyDescent="0.3">
      <c r="B36" s="56">
        <v>3</v>
      </c>
      <c r="C36" s="72" t="s">
        <v>437</v>
      </c>
      <c r="D36" s="64"/>
      <c r="E36" s="73"/>
      <c r="F36" s="56" t="s">
        <v>433</v>
      </c>
      <c r="G36" s="72" t="s">
        <v>438</v>
      </c>
      <c r="H36" s="64"/>
      <c r="I36" s="64"/>
    </row>
    <row r="37" spans="2:9" ht="31.95" customHeight="1" x14ac:dyDescent="0.3">
      <c r="B37" s="56">
        <v>4</v>
      </c>
      <c r="C37" s="72" t="s">
        <v>439</v>
      </c>
      <c r="D37" s="72"/>
      <c r="E37" s="74"/>
      <c r="F37" s="56" t="s">
        <v>433</v>
      </c>
      <c r="G37" s="72" t="s">
        <v>440</v>
      </c>
      <c r="H37" s="72"/>
      <c r="I37" s="72"/>
    </row>
    <row r="38" spans="2:9" ht="31.95" customHeight="1" x14ac:dyDescent="0.3">
      <c r="B38" s="56">
        <v>5</v>
      </c>
      <c r="C38" s="72" t="s">
        <v>441</v>
      </c>
      <c r="D38" s="72"/>
      <c r="E38" s="74"/>
      <c r="F38" s="56" t="s">
        <v>433</v>
      </c>
      <c r="G38" s="72" t="s">
        <v>442</v>
      </c>
      <c r="H38" s="72"/>
      <c r="I38" s="72"/>
    </row>
    <row r="39" spans="2:9" ht="13.95" customHeight="1" x14ac:dyDescent="0.3"/>
    <row r="40" spans="2:9" ht="24" customHeight="1" thickBot="1" x14ac:dyDescent="0.35">
      <c r="B40" s="63" t="s">
        <v>443</v>
      </c>
      <c r="C40" s="64"/>
      <c r="D40" s="64"/>
      <c r="E40" s="64"/>
      <c r="F40" s="64"/>
      <c r="G40" s="64"/>
      <c r="H40" s="64"/>
      <c r="I40" s="64"/>
    </row>
    <row r="41" spans="2:9" ht="31.95" customHeight="1" thickTop="1" thickBot="1" x14ac:dyDescent="0.35">
      <c r="B41" s="65" t="s">
        <v>444</v>
      </c>
      <c r="C41" s="66"/>
      <c r="D41" s="67" t="s">
        <v>445</v>
      </c>
      <c r="E41" s="66"/>
      <c r="F41" s="68" t="s">
        <v>446</v>
      </c>
      <c r="G41" s="66"/>
      <c r="H41" s="69" t="s">
        <v>447</v>
      </c>
      <c r="I41" s="70"/>
    </row>
    <row r="42" spans="2:9" ht="18" customHeight="1" thickTop="1" x14ac:dyDescent="0.3"/>
    <row r="43" spans="2:9" ht="22.05" customHeight="1" x14ac:dyDescent="0.3">
      <c r="B43" s="71" t="s">
        <v>448</v>
      </c>
      <c r="C43" s="64"/>
      <c r="D43" s="64"/>
      <c r="E43" s="64"/>
      <c r="F43" s="64"/>
      <c r="G43" s="64"/>
      <c r="H43" s="64"/>
      <c r="I43" s="64"/>
    </row>
  </sheetData>
  <mergeCells count="78">
    <mergeCell ref="B8:I8"/>
    <mergeCell ref="B2:I2"/>
    <mergeCell ref="B3:I3"/>
    <mergeCell ref="B4:I4"/>
    <mergeCell ref="B5:I5"/>
    <mergeCell ref="B6:I6"/>
    <mergeCell ref="B9:I9"/>
    <mergeCell ref="B11:I11"/>
    <mergeCell ref="B12:C12"/>
    <mergeCell ref="B13:C13"/>
    <mergeCell ref="B14:C14"/>
    <mergeCell ref="D12:E12"/>
    <mergeCell ref="D13:E13"/>
    <mergeCell ref="D14:E14"/>
    <mergeCell ref="F12:G12"/>
    <mergeCell ref="F13:G13"/>
    <mergeCell ref="H17:I17"/>
    <mergeCell ref="H18:I19"/>
    <mergeCell ref="F14:G14"/>
    <mergeCell ref="H12:I12"/>
    <mergeCell ref="H13:I13"/>
    <mergeCell ref="H14:I14"/>
    <mergeCell ref="B16:I16"/>
    <mergeCell ref="B17:C17"/>
    <mergeCell ref="B18:C19"/>
    <mergeCell ref="D17:E17"/>
    <mergeCell ref="D18:E19"/>
    <mergeCell ref="F17:G17"/>
    <mergeCell ref="F18:G19"/>
    <mergeCell ref="B21:I21"/>
    <mergeCell ref="B22:C22"/>
    <mergeCell ref="D22:E22"/>
    <mergeCell ref="F22:I22"/>
    <mergeCell ref="B23:C23"/>
    <mergeCell ref="D23:E23"/>
    <mergeCell ref="F23:I23"/>
    <mergeCell ref="B24:C24"/>
    <mergeCell ref="D24:E24"/>
    <mergeCell ref="F24:I24"/>
    <mergeCell ref="B25:C25"/>
    <mergeCell ref="D25:E25"/>
    <mergeCell ref="F25:I25"/>
    <mergeCell ref="B26:C26"/>
    <mergeCell ref="D26:E26"/>
    <mergeCell ref="F26:I26"/>
    <mergeCell ref="B27:C27"/>
    <mergeCell ref="D27:E27"/>
    <mergeCell ref="F27:I27"/>
    <mergeCell ref="B28:C28"/>
    <mergeCell ref="D28:E28"/>
    <mergeCell ref="F28:I28"/>
    <mergeCell ref="B29:C29"/>
    <mergeCell ref="D29:E29"/>
    <mergeCell ref="F29:I29"/>
    <mergeCell ref="B30:C30"/>
    <mergeCell ref="D30:E30"/>
    <mergeCell ref="F30:I30"/>
    <mergeCell ref="B31:C31"/>
    <mergeCell ref="D31:E31"/>
    <mergeCell ref="F31:I31"/>
    <mergeCell ref="B33:E33"/>
    <mergeCell ref="F33:I33"/>
    <mergeCell ref="C34:E34"/>
    <mergeCell ref="G34:I34"/>
    <mergeCell ref="C35:E35"/>
    <mergeCell ref="G35:I35"/>
    <mergeCell ref="B43:I43"/>
    <mergeCell ref="C36:E36"/>
    <mergeCell ref="G36:I36"/>
    <mergeCell ref="C37:E37"/>
    <mergeCell ref="G37:I37"/>
    <mergeCell ref="C38:E38"/>
    <mergeCell ref="G38:I38"/>
    <mergeCell ref="B40:I40"/>
    <mergeCell ref="B41:C41"/>
    <mergeCell ref="D41:E41"/>
    <mergeCell ref="F41:G41"/>
    <mergeCell ref="H41:I41"/>
  </mergeCells>
  <hyperlinks>
    <hyperlink ref="B41" location="Dashboard!A1" tooltip="Jump to Dashboard!A1" display="→  DASHBOARD" xr:uid="{C3873231-AAA2-4464-A92D-F01E890C9887}"/>
    <hyperlink ref="D41" location="Controls!A1" tooltip="Jump to Controls!A1" display="→  CONTROLS" xr:uid="{4DEECEA0-D14B-40C9-9E48-3E90D1A036D2}"/>
    <hyperlink ref="F41" location="Variance_Detail!A1" tooltip="Jump to Variance_Detail!A1" display="→  VARIANCE" xr:uid="{2E8FE311-E589-4DDE-9AF8-83B07BC34959}"/>
    <hyperlink ref="H41" location="README!A1" tooltip="Jump to README!A1" display="→  README" xr:uid="{DA5169C8-B564-4FB0-8984-4FDEB65EE6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F2EE-3830-4F6C-B953-8079E403069B}">
  <sheetPr>
    <tabColor rgb="FF4472C4"/>
  </sheetPr>
  <dimension ref="A1:E100"/>
  <sheetViews>
    <sheetView topLeftCell="A21" workbookViewId="0">
      <selection sqref="A1:J1"/>
    </sheetView>
  </sheetViews>
  <sheetFormatPr defaultRowHeight="14.4" x14ac:dyDescent="0.3"/>
  <cols>
    <col min="1" max="1" width="17.5546875" customWidth="1"/>
    <col min="2" max="2" width="24.109375" customWidth="1"/>
    <col min="3" max="3" width="37" customWidth="1"/>
    <col min="4" max="5" width="24.109375" customWidth="1"/>
  </cols>
  <sheetData>
    <row r="1" spans="1:5" ht="31.95" customHeight="1" x14ac:dyDescent="0.4">
      <c r="A1" s="132" t="s">
        <v>216</v>
      </c>
      <c r="B1" s="59"/>
      <c r="C1" s="59"/>
      <c r="D1" s="59"/>
      <c r="E1" s="59"/>
    </row>
    <row r="2" spans="1:5" x14ac:dyDescent="0.3">
      <c r="A2" s="60" t="s">
        <v>217</v>
      </c>
      <c r="B2" s="59"/>
      <c r="C2" s="59"/>
      <c r="D2" s="59"/>
      <c r="E2" s="59"/>
    </row>
    <row r="3" spans="1:5" ht="22.05" customHeight="1" x14ac:dyDescent="0.3">
      <c r="A3" s="3" t="s">
        <v>340</v>
      </c>
      <c r="B3" s="3" t="s">
        <v>341</v>
      </c>
      <c r="C3" s="3" t="s">
        <v>342</v>
      </c>
      <c r="D3" s="3" t="s">
        <v>343</v>
      </c>
      <c r="E3" s="3" t="s">
        <v>344</v>
      </c>
    </row>
    <row r="4" spans="1:5" x14ac:dyDescent="0.3">
      <c r="A4" s="2"/>
      <c r="B4" s="2"/>
      <c r="C4" s="2"/>
      <c r="D4" s="2"/>
      <c r="E4" s="2"/>
    </row>
    <row r="5" spans="1:5" x14ac:dyDescent="0.3">
      <c r="A5" s="123" t="s">
        <v>218</v>
      </c>
      <c r="B5" s="59"/>
      <c r="C5" s="59"/>
      <c r="D5" s="59"/>
      <c r="E5" s="59"/>
    </row>
    <row r="6" spans="1:5" ht="60" customHeight="1" x14ac:dyDescent="0.3">
      <c r="A6" s="122" t="s">
        <v>219</v>
      </c>
      <c r="B6" s="59"/>
      <c r="C6" s="59"/>
      <c r="D6" s="59"/>
      <c r="E6" s="59"/>
    </row>
    <row r="7" spans="1:5" x14ac:dyDescent="0.3">
      <c r="A7" s="2"/>
      <c r="B7" s="2"/>
      <c r="C7" s="2"/>
      <c r="D7" s="2"/>
      <c r="E7" s="2"/>
    </row>
    <row r="8" spans="1:5" x14ac:dyDescent="0.3">
      <c r="A8" s="123" t="s">
        <v>220</v>
      </c>
      <c r="B8" s="59"/>
      <c r="C8" s="59"/>
      <c r="D8" s="59"/>
      <c r="E8" s="59"/>
    </row>
    <row r="9" spans="1:5" ht="30" customHeight="1" x14ac:dyDescent="0.3">
      <c r="A9" s="6" t="s">
        <v>221</v>
      </c>
      <c r="B9" s="122" t="s">
        <v>222</v>
      </c>
      <c r="C9" s="59"/>
      <c r="D9" s="59"/>
      <c r="E9" s="59"/>
    </row>
    <row r="10" spans="1:5" ht="30" customHeight="1" x14ac:dyDescent="0.3">
      <c r="A10" s="6" t="s">
        <v>223</v>
      </c>
      <c r="B10" s="122" t="s">
        <v>224</v>
      </c>
      <c r="C10" s="59"/>
      <c r="D10" s="59"/>
      <c r="E10" s="59"/>
    </row>
    <row r="11" spans="1:5" ht="30" customHeight="1" x14ac:dyDescent="0.3">
      <c r="A11" s="6" t="s">
        <v>225</v>
      </c>
      <c r="B11" s="122" t="s">
        <v>226</v>
      </c>
      <c r="C11" s="59"/>
      <c r="D11" s="59"/>
      <c r="E11" s="59"/>
    </row>
    <row r="12" spans="1:5" ht="30" customHeight="1" x14ac:dyDescent="0.3">
      <c r="A12" s="6" t="s">
        <v>227</v>
      </c>
      <c r="B12" s="122" t="s">
        <v>228</v>
      </c>
      <c r="C12" s="122"/>
      <c r="D12" s="122"/>
      <c r="E12" s="122"/>
    </row>
    <row r="13" spans="1:5" ht="30" customHeight="1" x14ac:dyDescent="0.3">
      <c r="A13" s="6" t="s">
        <v>229</v>
      </c>
      <c r="B13" s="122" t="s">
        <v>230</v>
      </c>
      <c r="C13" s="122"/>
      <c r="D13" s="122"/>
      <c r="E13" s="122"/>
    </row>
    <row r="14" spans="1:5" ht="30" customHeight="1" x14ac:dyDescent="0.3">
      <c r="A14" s="6" t="s">
        <v>231</v>
      </c>
      <c r="B14" s="122" t="s">
        <v>232</v>
      </c>
      <c r="C14" s="122"/>
      <c r="D14" s="122"/>
      <c r="E14" s="122"/>
    </row>
    <row r="15" spans="1:5" x14ac:dyDescent="0.3">
      <c r="A15" s="2"/>
      <c r="B15" s="2"/>
      <c r="C15" s="2"/>
      <c r="D15" s="2"/>
      <c r="E15" s="2"/>
    </row>
    <row r="16" spans="1:5" x14ac:dyDescent="0.3">
      <c r="A16" s="123" t="s">
        <v>233</v>
      </c>
      <c r="B16" s="128"/>
      <c r="C16" s="128"/>
      <c r="D16" s="128"/>
      <c r="E16" s="128"/>
    </row>
    <row r="17" spans="1:5" x14ac:dyDescent="0.3">
      <c r="A17" s="6" t="s">
        <v>234</v>
      </c>
      <c r="B17" s="6" t="s">
        <v>235</v>
      </c>
      <c r="C17" s="6" t="s">
        <v>236</v>
      </c>
      <c r="D17" s="6" t="s">
        <v>237</v>
      </c>
      <c r="E17" s="6" t="s">
        <v>238</v>
      </c>
    </row>
    <row r="18" spans="1:5" ht="22.05" customHeight="1" x14ac:dyDescent="0.3">
      <c r="A18" s="7" t="s">
        <v>239</v>
      </c>
      <c r="B18" s="7" t="s">
        <v>240</v>
      </c>
      <c r="C18" s="7" t="s">
        <v>241</v>
      </c>
      <c r="D18" s="7" t="s">
        <v>242</v>
      </c>
      <c r="E18" s="7" t="s">
        <v>243</v>
      </c>
    </row>
    <row r="19" spans="1:5" ht="22.05" customHeight="1" x14ac:dyDescent="0.3">
      <c r="A19" s="7" t="s">
        <v>244</v>
      </c>
      <c r="B19" s="7" t="s">
        <v>245</v>
      </c>
      <c r="C19" s="7" t="s">
        <v>246</v>
      </c>
      <c r="D19" s="7" t="s">
        <v>247</v>
      </c>
      <c r="E19" s="7" t="s">
        <v>248</v>
      </c>
    </row>
    <row r="20" spans="1:5" ht="22.05" customHeight="1" x14ac:dyDescent="0.3">
      <c r="A20" s="7" t="s">
        <v>249</v>
      </c>
      <c r="B20" s="7" t="s">
        <v>245</v>
      </c>
      <c r="C20" s="7" t="s">
        <v>250</v>
      </c>
      <c r="D20" s="7" t="s">
        <v>247</v>
      </c>
      <c r="E20" s="7" t="s">
        <v>248</v>
      </c>
    </row>
    <row r="21" spans="1:5" ht="22.05" customHeight="1" x14ac:dyDescent="0.3">
      <c r="A21" s="7" t="s">
        <v>251</v>
      </c>
      <c r="B21" s="7" t="s">
        <v>245</v>
      </c>
      <c r="C21" s="7" t="s">
        <v>252</v>
      </c>
      <c r="D21" s="7" t="s">
        <v>247</v>
      </c>
      <c r="E21" s="7" t="s">
        <v>248</v>
      </c>
    </row>
    <row r="22" spans="1:5" ht="22.05" customHeight="1" x14ac:dyDescent="0.3">
      <c r="A22" s="7" t="s">
        <v>253</v>
      </c>
      <c r="B22" s="7" t="s">
        <v>254</v>
      </c>
      <c r="C22" s="7" t="s">
        <v>255</v>
      </c>
      <c r="D22" s="7" t="s">
        <v>256</v>
      </c>
      <c r="E22" s="7" t="s">
        <v>248</v>
      </c>
    </row>
    <row r="23" spans="1:5" ht="22.05" customHeight="1" x14ac:dyDescent="0.3">
      <c r="A23" s="7" t="s">
        <v>257</v>
      </c>
      <c r="B23" s="7" t="s">
        <v>257</v>
      </c>
      <c r="C23" s="7" t="s">
        <v>258</v>
      </c>
      <c r="D23" s="7" t="s">
        <v>256</v>
      </c>
      <c r="E23" s="7" t="s">
        <v>248</v>
      </c>
    </row>
    <row r="24" spans="1:5" ht="22.05" customHeight="1" x14ac:dyDescent="0.3">
      <c r="A24" s="7" t="s">
        <v>259</v>
      </c>
      <c r="B24" s="7" t="s">
        <v>260</v>
      </c>
      <c r="C24" s="7" t="s">
        <v>261</v>
      </c>
      <c r="D24" s="7" t="s">
        <v>256</v>
      </c>
      <c r="E24" s="7" t="s">
        <v>248</v>
      </c>
    </row>
    <row r="25" spans="1:5" ht="22.05" customHeight="1" x14ac:dyDescent="0.3">
      <c r="A25" s="7" t="s">
        <v>262</v>
      </c>
      <c r="B25" s="7" t="s">
        <v>260</v>
      </c>
      <c r="C25" s="7" t="s">
        <v>263</v>
      </c>
      <c r="D25" s="7" t="s">
        <v>256</v>
      </c>
      <c r="E25" s="7" t="s">
        <v>248</v>
      </c>
    </row>
    <row r="26" spans="1:5" x14ac:dyDescent="0.3">
      <c r="A26" s="2"/>
      <c r="B26" s="2"/>
      <c r="C26" s="2"/>
      <c r="D26" s="2"/>
      <c r="E26" s="2"/>
    </row>
    <row r="27" spans="1:5" x14ac:dyDescent="0.3">
      <c r="A27" s="123" t="s">
        <v>264</v>
      </c>
      <c r="B27" s="59"/>
      <c r="C27" s="59"/>
      <c r="D27" s="59"/>
      <c r="E27" s="59"/>
    </row>
    <row r="28" spans="1:5" x14ac:dyDescent="0.3">
      <c r="A28" s="6" t="s">
        <v>120</v>
      </c>
      <c r="B28" s="6" t="s">
        <v>235</v>
      </c>
      <c r="C28" s="6" t="s">
        <v>121</v>
      </c>
      <c r="D28" s="6" t="s">
        <v>265</v>
      </c>
      <c r="E28" s="6" t="s">
        <v>137</v>
      </c>
    </row>
    <row r="29" spans="1:5" ht="22.05" customHeight="1" x14ac:dyDescent="0.3">
      <c r="A29" s="7" t="s">
        <v>266</v>
      </c>
      <c r="B29" s="7" t="s">
        <v>267</v>
      </c>
      <c r="C29" s="7" t="s">
        <v>268</v>
      </c>
      <c r="D29" s="8" t="s">
        <v>269</v>
      </c>
      <c r="E29" s="7" t="s">
        <v>270</v>
      </c>
    </row>
    <row r="30" spans="1:5" ht="22.05" customHeight="1" x14ac:dyDescent="0.3">
      <c r="A30" s="7" t="s">
        <v>271</v>
      </c>
      <c r="B30" s="7" t="s">
        <v>178</v>
      </c>
      <c r="C30" s="7" t="s">
        <v>272</v>
      </c>
      <c r="D30" s="8" t="s">
        <v>273</v>
      </c>
      <c r="E30" s="7" t="s">
        <v>274</v>
      </c>
    </row>
    <row r="31" spans="1:5" ht="22.05" customHeight="1" x14ac:dyDescent="0.3">
      <c r="A31" s="7" t="s">
        <v>275</v>
      </c>
      <c r="B31" s="7" t="s">
        <v>276</v>
      </c>
      <c r="C31" s="7" t="s">
        <v>148</v>
      </c>
      <c r="D31" s="8" t="s">
        <v>277</v>
      </c>
      <c r="E31" s="7" t="s">
        <v>278</v>
      </c>
    </row>
    <row r="32" spans="1:5" ht="22.05" customHeight="1" x14ac:dyDescent="0.3">
      <c r="A32" s="7" t="s">
        <v>279</v>
      </c>
      <c r="B32" s="7" t="s">
        <v>276</v>
      </c>
      <c r="C32" s="7" t="s">
        <v>151</v>
      </c>
      <c r="D32" s="8" t="s">
        <v>280</v>
      </c>
      <c r="E32" s="7" t="s">
        <v>281</v>
      </c>
    </row>
    <row r="33" spans="1:5" ht="22.05" customHeight="1" x14ac:dyDescent="0.3">
      <c r="A33" s="7" t="s">
        <v>282</v>
      </c>
      <c r="B33" s="7" t="s">
        <v>276</v>
      </c>
      <c r="C33" s="7" t="s">
        <v>283</v>
      </c>
      <c r="D33" s="8" t="s">
        <v>284</v>
      </c>
      <c r="E33" s="7" t="s">
        <v>285</v>
      </c>
    </row>
    <row r="34" spans="1:5" ht="22.05" customHeight="1" x14ac:dyDescent="0.3">
      <c r="A34" s="7" t="s">
        <v>286</v>
      </c>
      <c r="B34" s="7" t="s">
        <v>276</v>
      </c>
      <c r="C34" s="7" t="s">
        <v>157</v>
      </c>
      <c r="D34" s="8" t="s">
        <v>287</v>
      </c>
      <c r="E34" s="7" t="s">
        <v>288</v>
      </c>
    </row>
    <row r="35" spans="1:5" ht="22.05" customHeight="1" x14ac:dyDescent="0.3">
      <c r="A35" s="7" t="s">
        <v>289</v>
      </c>
      <c r="B35" s="7" t="s">
        <v>276</v>
      </c>
      <c r="C35" s="7" t="s">
        <v>159</v>
      </c>
      <c r="D35" s="8" t="s">
        <v>290</v>
      </c>
      <c r="E35" s="7" t="s">
        <v>285</v>
      </c>
    </row>
    <row r="36" spans="1:5" ht="22.05" customHeight="1" x14ac:dyDescent="0.3">
      <c r="A36" s="7" t="s">
        <v>291</v>
      </c>
      <c r="B36" s="7" t="s">
        <v>276</v>
      </c>
      <c r="C36" s="7" t="s">
        <v>161</v>
      </c>
      <c r="D36" s="8" t="s">
        <v>292</v>
      </c>
      <c r="E36" s="7" t="s">
        <v>285</v>
      </c>
    </row>
    <row r="37" spans="1:5" ht="22.05" customHeight="1" x14ac:dyDescent="0.3">
      <c r="A37" s="7" t="s">
        <v>293</v>
      </c>
      <c r="B37" s="7" t="s">
        <v>276</v>
      </c>
      <c r="C37" s="7" t="s">
        <v>294</v>
      </c>
      <c r="D37" s="8" t="s">
        <v>295</v>
      </c>
      <c r="E37" s="7" t="s">
        <v>296</v>
      </c>
    </row>
    <row r="38" spans="1:5" ht="22.05" customHeight="1" x14ac:dyDescent="0.3">
      <c r="A38" s="7" t="s">
        <v>297</v>
      </c>
      <c r="B38" s="7" t="s">
        <v>298</v>
      </c>
      <c r="C38" s="7" t="s">
        <v>299</v>
      </c>
      <c r="D38" s="8" t="s">
        <v>300</v>
      </c>
      <c r="E38" s="7" t="s">
        <v>243</v>
      </c>
    </row>
    <row r="39" spans="1:5" x14ac:dyDescent="0.3">
      <c r="A39" s="2"/>
      <c r="B39" s="2"/>
      <c r="C39" s="2"/>
      <c r="D39" s="2"/>
      <c r="E39" s="2"/>
    </row>
    <row r="40" spans="1:5" x14ac:dyDescent="0.3">
      <c r="A40" s="123" t="s">
        <v>301</v>
      </c>
      <c r="B40" s="59"/>
      <c r="C40" s="59"/>
      <c r="D40" s="59"/>
      <c r="E40" s="59"/>
    </row>
    <row r="41" spans="1:5" ht="42" customHeight="1" x14ac:dyDescent="0.3">
      <c r="A41" s="9" t="s">
        <v>302</v>
      </c>
      <c r="B41" s="122" t="s">
        <v>303</v>
      </c>
      <c r="C41" s="59"/>
      <c r="D41" s="59"/>
      <c r="E41" s="59"/>
    </row>
    <row r="42" spans="1:5" ht="42" customHeight="1" x14ac:dyDescent="0.3">
      <c r="A42" s="9" t="s">
        <v>304</v>
      </c>
      <c r="B42" s="122" t="s">
        <v>305</v>
      </c>
      <c r="C42" s="59"/>
      <c r="D42" s="59"/>
      <c r="E42" s="59"/>
    </row>
    <row r="43" spans="1:5" ht="42" customHeight="1" x14ac:dyDescent="0.3">
      <c r="A43" s="9" t="s">
        <v>183</v>
      </c>
      <c r="B43" s="122" t="s">
        <v>306</v>
      </c>
      <c r="C43" s="59"/>
      <c r="D43" s="59"/>
      <c r="E43" s="59"/>
    </row>
    <row r="44" spans="1:5" ht="42" customHeight="1" x14ac:dyDescent="0.3">
      <c r="A44" s="9" t="s">
        <v>186</v>
      </c>
      <c r="B44" s="122" t="s">
        <v>307</v>
      </c>
      <c r="C44" s="122"/>
      <c r="D44" s="122"/>
      <c r="E44" s="122"/>
    </row>
    <row r="45" spans="1:5" x14ac:dyDescent="0.3">
      <c r="A45" s="2"/>
      <c r="B45" s="2"/>
      <c r="C45" s="2"/>
      <c r="D45" s="2"/>
      <c r="E45" s="2"/>
    </row>
    <row r="46" spans="1:5" x14ac:dyDescent="0.3">
      <c r="A46" s="123" t="s">
        <v>308</v>
      </c>
      <c r="B46" s="131"/>
      <c r="C46" s="131"/>
      <c r="D46" s="131"/>
      <c r="E46" s="131"/>
    </row>
    <row r="47" spans="1:5" ht="30" customHeight="1" x14ac:dyDescent="0.3">
      <c r="A47" s="122" t="s">
        <v>309</v>
      </c>
      <c r="B47" s="59"/>
      <c r="C47" s="59"/>
      <c r="D47" s="59"/>
      <c r="E47" s="59"/>
    </row>
    <row r="48" spans="1:5" ht="30" customHeight="1" x14ac:dyDescent="0.3">
      <c r="A48" s="122" t="s">
        <v>310</v>
      </c>
      <c r="B48" s="59"/>
      <c r="C48" s="59"/>
      <c r="D48" s="59"/>
      <c r="E48" s="59"/>
    </row>
    <row r="49" spans="1:5" ht="30" customHeight="1" x14ac:dyDescent="0.3">
      <c r="A49" s="122" t="s">
        <v>311</v>
      </c>
      <c r="B49" s="59"/>
      <c r="C49" s="59"/>
      <c r="D49" s="59"/>
      <c r="E49" s="59"/>
    </row>
    <row r="50" spans="1:5" ht="30" customHeight="1" x14ac:dyDescent="0.3">
      <c r="A50" s="122" t="s">
        <v>312</v>
      </c>
      <c r="B50" s="122"/>
      <c r="C50" s="122"/>
      <c r="D50" s="122"/>
      <c r="E50" s="122"/>
    </row>
    <row r="51" spans="1:5" ht="30" customHeight="1" x14ac:dyDescent="0.3">
      <c r="A51" s="122" t="s">
        <v>313</v>
      </c>
      <c r="B51" s="122"/>
      <c r="C51" s="122"/>
      <c r="D51" s="122"/>
      <c r="E51" s="122"/>
    </row>
    <row r="52" spans="1:5" ht="30" customHeight="1" x14ac:dyDescent="0.3">
      <c r="A52" s="122" t="s">
        <v>314</v>
      </c>
      <c r="B52" s="122"/>
      <c r="C52" s="122"/>
      <c r="D52" s="122"/>
      <c r="E52" s="122"/>
    </row>
    <row r="53" spans="1:5" ht="30" customHeight="1" x14ac:dyDescent="0.3">
      <c r="A53" s="122" t="s">
        <v>315</v>
      </c>
      <c r="B53" s="122"/>
      <c r="C53" s="122"/>
      <c r="D53" s="122"/>
      <c r="E53" s="122"/>
    </row>
    <row r="54" spans="1:5" ht="30" customHeight="1" x14ac:dyDescent="0.3">
      <c r="A54" s="122" t="s">
        <v>316</v>
      </c>
      <c r="B54" s="122"/>
      <c r="C54" s="122"/>
      <c r="D54" s="122"/>
      <c r="E54" s="122"/>
    </row>
    <row r="55" spans="1:5" x14ac:dyDescent="0.3">
      <c r="A55" s="2"/>
      <c r="B55" s="2"/>
      <c r="C55" s="2"/>
      <c r="D55" s="2"/>
      <c r="E55" s="2"/>
    </row>
    <row r="56" spans="1:5" x14ac:dyDescent="0.3">
      <c r="A56" s="123" t="s">
        <v>317</v>
      </c>
      <c r="B56" s="59"/>
      <c r="C56" s="59"/>
      <c r="D56" s="59"/>
      <c r="E56" s="59"/>
    </row>
    <row r="57" spans="1:5" x14ac:dyDescent="0.3">
      <c r="A57" s="130" t="s">
        <v>318</v>
      </c>
      <c r="B57" s="122"/>
      <c r="C57" s="122"/>
      <c r="D57" s="122"/>
      <c r="E57" s="122"/>
    </row>
    <row r="58" spans="1:5" ht="37.950000000000003" customHeight="1" x14ac:dyDescent="0.3">
      <c r="A58" s="6" t="s">
        <v>319</v>
      </c>
      <c r="B58" s="122" t="s">
        <v>320</v>
      </c>
      <c r="C58" s="59"/>
      <c r="D58" s="59"/>
      <c r="E58" s="59"/>
    </row>
    <row r="59" spans="1:5" ht="37.950000000000003" customHeight="1" x14ac:dyDescent="0.3">
      <c r="A59" s="6" t="s">
        <v>321</v>
      </c>
      <c r="B59" s="122" t="s">
        <v>322</v>
      </c>
      <c r="C59" s="59"/>
      <c r="D59" s="59"/>
      <c r="E59" s="59"/>
    </row>
    <row r="60" spans="1:5" ht="37.950000000000003" customHeight="1" x14ac:dyDescent="0.3">
      <c r="A60" s="6" t="s">
        <v>323</v>
      </c>
      <c r="B60" s="122" t="s">
        <v>324</v>
      </c>
      <c r="C60" s="59"/>
      <c r="D60" s="59"/>
      <c r="E60" s="59"/>
    </row>
    <row r="61" spans="1:5" ht="37.950000000000003" customHeight="1" x14ac:dyDescent="0.3">
      <c r="A61" s="6" t="s">
        <v>325</v>
      </c>
      <c r="B61" s="122" t="s">
        <v>326</v>
      </c>
      <c r="C61" s="122"/>
      <c r="D61" s="122"/>
      <c r="E61" s="122"/>
    </row>
    <row r="62" spans="1:5" ht="37.950000000000003" customHeight="1" x14ac:dyDescent="0.3">
      <c r="A62" s="6" t="s">
        <v>327</v>
      </c>
      <c r="B62" s="122" t="s">
        <v>328</v>
      </c>
      <c r="C62" s="122"/>
      <c r="D62" s="122"/>
      <c r="E62" s="122"/>
    </row>
    <row r="63" spans="1:5" x14ac:dyDescent="0.3">
      <c r="A63" s="2"/>
      <c r="B63" s="2"/>
      <c r="C63" s="2"/>
      <c r="D63" s="2"/>
      <c r="E63" s="2"/>
    </row>
    <row r="64" spans="1:5" x14ac:dyDescent="0.3">
      <c r="A64" s="123" t="s">
        <v>345</v>
      </c>
      <c r="B64" s="128"/>
      <c r="C64" s="128"/>
      <c r="D64" s="128"/>
      <c r="E64" s="128"/>
    </row>
    <row r="65" spans="1:5" x14ac:dyDescent="0.3">
      <c r="A65" s="6" t="s">
        <v>346</v>
      </c>
      <c r="B65" s="6" t="s">
        <v>347</v>
      </c>
      <c r="C65" s="6" t="s">
        <v>37</v>
      </c>
      <c r="D65" s="6" t="s">
        <v>348</v>
      </c>
      <c r="E65" s="6" t="s">
        <v>349</v>
      </c>
    </row>
    <row r="66" spans="1:5" ht="18" customHeight="1" x14ac:dyDescent="0.3">
      <c r="A66" s="10" t="s">
        <v>149</v>
      </c>
      <c r="B66" s="7" t="s">
        <v>0</v>
      </c>
      <c r="C66" s="7" t="s">
        <v>0</v>
      </c>
      <c r="D66" s="7" t="s">
        <v>350</v>
      </c>
      <c r="E66" s="11">
        <v>45901</v>
      </c>
    </row>
    <row r="67" spans="1:5" ht="18" customHeight="1" x14ac:dyDescent="0.3">
      <c r="A67" s="10" t="s">
        <v>149</v>
      </c>
      <c r="B67" s="7" t="s">
        <v>1</v>
      </c>
      <c r="C67" s="7" t="s">
        <v>351</v>
      </c>
      <c r="D67" s="7" t="s">
        <v>352</v>
      </c>
      <c r="E67" s="7" t="s">
        <v>164</v>
      </c>
    </row>
    <row r="68" spans="1:5" ht="18" customHeight="1" x14ac:dyDescent="0.3">
      <c r="A68" s="10" t="s">
        <v>149</v>
      </c>
      <c r="B68" s="7" t="s">
        <v>2</v>
      </c>
      <c r="C68" s="7" t="s">
        <v>351</v>
      </c>
      <c r="D68" s="7" t="s">
        <v>353</v>
      </c>
      <c r="E68" s="7" t="s">
        <v>354</v>
      </c>
    </row>
    <row r="69" spans="1:5" ht="18" customHeight="1" x14ac:dyDescent="0.3">
      <c r="A69" s="10" t="s">
        <v>149</v>
      </c>
      <c r="B69" s="7" t="s">
        <v>3</v>
      </c>
      <c r="C69" s="7" t="s">
        <v>355</v>
      </c>
      <c r="D69" s="7" t="s">
        <v>356</v>
      </c>
      <c r="E69" s="7">
        <v>279.83499999999998</v>
      </c>
    </row>
    <row r="70" spans="1:5" ht="18" customHeight="1" x14ac:dyDescent="0.3">
      <c r="A70" s="10" t="s">
        <v>149</v>
      </c>
      <c r="B70" s="7" t="s">
        <v>4</v>
      </c>
      <c r="C70" s="7" t="s">
        <v>351</v>
      </c>
      <c r="D70" s="7" t="s">
        <v>357</v>
      </c>
      <c r="E70" s="7" t="s">
        <v>34</v>
      </c>
    </row>
    <row r="71" spans="1:5" ht="18" customHeight="1" x14ac:dyDescent="0.3">
      <c r="A71" s="10" t="s">
        <v>152</v>
      </c>
      <c r="B71" s="7" t="s">
        <v>0</v>
      </c>
      <c r="C71" s="7" t="s">
        <v>0</v>
      </c>
      <c r="D71" s="7" t="s">
        <v>350</v>
      </c>
      <c r="E71" s="11">
        <v>45901</v>
      </c>
    </row>
    <row r="72" spans="1:5" ht="18" customHeight="1" x14ac:dyDescent="0.3">
      <c r="A72" s="10" t="s">
        <v>152</v>
      </c>
      <c r="B72" s="7" t="s">
        <v>1</v>
      </c>
      <c r="C72" s="7" t="s">
        <v>351</v>
      </c>
      <c r="D72" s="7" t="s">
        <v>352</v>
      </c>
      <c r="E72" s="7" t="s">
        <v>5</v>
      </c>
    </row>
    <row r="73" spans="1:5" ht="18" customHeight="1" x14ac:dyDescent="0.3">
      <c r="A73" s="10" t="s">
        <v>152</v>
      </c>
      <c r="B73" s="7" t="s">
        <v>35</v>
      </c>
      <c r="C73" s="7" t="s">
        <v>351</v>
      </c>
      <c r="D73" s="7" t="s">
        <v>358</v>
      </c>
      <c r="E73" s="7">
        <v>4000</v>
      </c>
    </row>
    <row r="74" spans="1:5" ht="18" customHeight="1" x14ac:dyDescent="0.3">
      <c r="A74" s="10" t="s">
        <v>152</v>
      </c>
      <c r="B74" s="7" t="s">
        <v>36</v>
      </c>
      <c r="C74" s="7" t="s">
        <v>351</v>
      </c>
      <c r="D74" s="7" t="s">
        <v>359</v>
      </c>
      <c r="E74" s="7" t="s">
        <v>39</v>
      </c>
    </row>
    <row r="75" spans="1:5" ht="18" customHeight="1" x14ac:dyDescent="0.3">
      <c r="A75" s="10" t="s">
        <v>152</v>
      </c>
      <c r="B75" s="7" t="s">
        <v>37</v>
      </c>
      <c r="C75" s="7" t="s">
        <v>351</v>
      </c>
      <c r="D75" s="7" t="s">
        <v>360</v>
      </c>
      <c r="E75" s="7" t="s">
        <v>40</v>
      </c>
    </row>
    <row r="76" spans="1:5" ht="18" customHeight="1" x14ac:dyDescent="0.3">
      <c r="A76" s="10" t="s">
        <v>152</v>
      </c>
      <c r="B76" s="7" t="s">
        <v>38</v>
      </c>
      <c r="C76" s="7" t="s">
        <v>355</v>
      </c>
      <c r="D76" s="7" t="s">
        <v>361</v>
      </c>
      <c r="E76" s="7">
        <v>-38.244999999999997</v>
      </c>
    </row>
    <row r="77" spans="1:5" ht="18" customHeight="1" x14ac:dyDescent="0.3">
      <c r="A77" s="10" t="s">
        <v>152</v>
      </c>
      <c r="B77" s="7" t="s">
        <v>4</v>
      </c>
      <c r="C77" s="7" t="s">
        <v>351</v>
      </c>
      <c r="D77" s="7" t="s">
        <v>362</v>
      </c>
      <c r="E77" s="7" t="s">
        <v>72</v>
      </c>
    </row>
    <row r="78" spans="1:5" ht="18" customHeight="1" x14ac:dyDescent="0.3">
      <c r="A78" s="10" t="s">
        <v>155</v>
      </c>
      <c r="B78" s="7" t="s">
        <v>0</v>
      </c>
      <c r="C78" s="7" t="s">
        <v>0</v>
      </c>
      <c r="D78" s="7" t="s">
        <v>350</v>
      </c>
      <c r="E78" s="11">
        <v>45901</v>
      </c>
    </row>
    <row r="79" spans="1:5" ht="18" customHeight="1" x14ac:dyDescent="0.3">
      <c r="A79" s="10" t="s">
        <v>155</v>
      </c>
      <c r="B79" s="7" t="s">
        <v>73</v>
      </c>
      <c r="C79" s="7" t="s">
        <v>351</v>
      </c>
      <c r="D79" s="7" t="s">
        <v>363</v>
      </c>
      <c r="E79" s="7" t="s">
        <v>76</v>
      </c>
    </row>
    <row r="80" spans="1:5" ht="18" customHeight="1" x14ac:dyDescent="0.3">
      <c r="A80" s="10" t="s">
        <v>155</v>
      </c>
      <c r="B80" s="7" t="s">
        <v>1</v>
      </c>
      <c r="C80" s="7" t="s">
        <v>351</v>
      </c>
      <c r="D80" s="7" t="s">
        <v>364</v>
      </c>
      <c r="E80" s="7" t="s">
        <v>5</v>
      </c>
    </row>
    <row r="81" spans="1:5" ht="18" customHeight="1" x14ac:dyDescent="0.3">
      <c r="A81" s="10" t="s">
        <v>155</v>
      </c>
      <c r="B81" s="7" t="s">
        <v>2</v>
      </c>
      <c r="C81" s="7" t="s">
        <v>351</v>
      </c>
      <c r="D81" s="7" t="s">
        <v>365</v>
      </c>
      <c r="E81" s="7" t="s">
        <v>6</v>
      </c>
    </row>
    <row r="82" spans="1:5" ht="18" customHeight="1" x14ac:dyDescent="0.3">
      <c r="A82" s="10" t="s">
        <v>155</v>
      </c>
      <c r="B82" s="7" t="s">
        <v>74</v>
      </c>
      <c r="C82" s="7" t="s">
        <v>355</v>
      </c>
      <c r="D82" s="7" t="s">
        <v>366</v>
      </c>
      <c r="E82" s="7">
        <v>62.5</v>
      </c>
    </row>
    <row r="83" spans="1:5" ht="18" customHeight="1" x14ac:dyDescent="0.3">
      <c r="A83" s="10" t="s">
        <v>155</v>
      </c>
      <c r="B83" s="7" t="s">
        <v>75</v>
      </c>
      <c r="C83" s="7" t="s">
        <v>355</v>
      </c>
      <c r="D83" s="7" t="s">
        <v>367</v>
      </c>
      <c r="E83" s="7" t="s">
        <v>368</v>
      </c>
    </row>
    <row r="84" spans="1:5" ht="18" customHeight="1" x14ac:dyDescent="0.3">
      <c r="A84" s="10" t="s">
        <v>155</v>
      </c>
      <c r="B84" s="7" t="s">
        <v>4</v>
      </c>
      <c r="C84" s="7" t="s">
        <v>351</v>
      </c>
      <c r="D84" s="7" t="s">
        <v>362</v>
      </c>
      <c r="E84" s="7" t="s">
        <v>97</v>
      </c>
    </row>
    <row r="85" spans="1:5" x14ac:dyDescent="0.3">
      <c r="A85" s="2"/>
      <c r="B85" s="2"/>
      <c r="C85" s="2"/>
      <c r="D85" s="2"/>
      <c r="E85" s="2"/>
    </row>
    <row r="86" spans="1:5" x14ac:dyDescent="0.3">
      <c r="A86" s="123" t="s">
        <v>369</v>
      </c>
      <c r="B86" s="129"/>
      <c r="C86" s="129"/>
      <c r="D86" s="129"/>
      <c r="E86" s="129"/>
    </row>
    <row r="87" spans="1:5" ht="24" customHeight="1" x14ac:dyDescent="0.3">
      <c r="A87" s="13" t="s">
        <v>370</v>
      </c>
      <c r="B87" s="124" t="s">
        <v>371</v>
      </c>
      <c r="C87" s="125"/>
      <c r="D87" s="125"/>
      <c r="E87" s="126"/>
    </row>
    <row r="88" spans="1:5" ht="24" customHeight="1" x14ac:dyDescent="0.3">
      <c r="A88" s="14" t="s">
        <v>372</v>
      </c>
      <c r="B88" s="124" t="s">
        <v>373</v>
      </c>
      <c r="C88" s="125"/>
      <c r="D88" s="125"/>
      <c r="E88" s="126"/>
    </row>
    <row r="89" spans="1:5" ht="24" customHeight="1" x14ac:dyDescent="0.3">
      <c r="A89" s="15" t="s">
        <v>374</v>
      </c>
      <c r="B89" s="124" t="s">
        <v>375</v>
      </c>
      <c r="C89" s="125"/>
      <c r="D89" s="125"/>
      <c r="E89" s="126"/>
    </row>
    <row r="90" spans="1:5" ht="24" customHeight="1" x14ac:dyDescent="0.3">
      <c r="A90" s="14" t="s">
        <v>376</v>
      </c>
      <c r="B90" s="124" t="s">
        <v>377</v>
      </c>
      <c r="C90" s="124"/>
      <c r="D90" s="124"/>
      <c r="E90" s="127"/>
    </row>
    <row r="91" spans="1:5" ht="24" customHeight="1" x14ac:dyDescent="0.3">
      <c r="A91" s="16" t="s">
        <v>378</v>
      </c>
      <c r="B91" s="124" t="s">
        <v>379</v>
      </c>
      <c r="C91" s="124"/>
      <c r="D91" s="124"/>
      <c r="E91" s="127"/>
    </row>
    <row r="92" spans="1:5" ht="24" customHeight="1" x14ac:dyDescent="0.3">
      <c r="A92" s="17" t="s">
        <v>380</v>
      </c>
      <c r="B92" s="124" t="s">
        <v>381</v>
      </c>
      <c r="C92" s="124"/>
      <c r="D92" s="124"/>
      <c r="E92" s="127"/>
    </row>
    <row r="93" spans="1:5" x14ac:dyDescent="0.3">
      <c r="A93" s="2"/>
      <c r="B93" s="2"/>
      <c r="C93" s="2"/>
      <c r="D93" s="2"/>
      <c r="E93" s="2"/>
    </row>
    <row r="94" spans="1:5" x14ac:dyDescent="0.3">
      <c r="A94" s="123" t="s">
        <v>382</v>
      </c>
      <c r="B94" s="59"/>
      <c r="C94" s="59"/>
      <c r="D94" s="59"/>
      <c r="E94" s="59"/>
    </row>
    <row r="95" spans="1:5" ht="22.05" customHeight="1" x14ac:dyDescent="0.3">
      <c r="A95" s="18" t="s">
        <v>383</v>
      </c>
      <c r="B95" s="122">
        <v>1</v>
      </c>
      <c r="C95" s="59"/>
      <c r="D95" s="59"/>
      <c r="E95" s="59"/>
    </row>
    <row r="96" spans="1:5" ht="22.05" customHeight="1" x14ac:dyDescent="0.3">
      <c r="A96" s="18" t="s">
        <v>171</v>
      </c>
      <c r="B96" s="122" t="s">
        <v>384</v>
      </c>
      <c r="C96" s="59"/>
      <c r="D96" s="59"/>
      <c r="E96" s="59"/>
    </row>
    <row r="97" spans="1:5" ht="22.05" customHeight="1" x14ac:dyDescent="0.3">
      <c r="A97" s="18" t="s">
        <v>385</v>
      </c>
      <c r="B97" s="122" t="s">
        <v>386</v>
      </c>
      <c r="C97" s="59"/>
      <c r="D97" s="59"/>
      <c r="E97" s="59"/>
    </row>
    <row r="98" spans="1:5" ht="22.05" customHeight="1" x14ac:dyDescent="0.3">
      <c r="A98" s="18" t="s">
        <v>387</v>
      </c>
      <c r="B98" s="122" t="s">
        <v>388</v>
      </c>
      <c r="C98" s="59"/>
      <c r="D98" s="59"/>
      <c r="E98" s="59"/>
    </row>
    <row r="99" spans="1:5" ht="22.05" customHeight="1" x14ac:dyDescent="0.3">
      <c r="A99" s="18" t="s">
        <v>389</v>
      </c>
      <c r="B99" s="122" t="s">
        <v>390</v>
      </c>
      <c r="C99" s="122"/>
      <c r="D99" s="122"/>
      <c r="E99" s="122"/>
    </row>
    <row r="100" spans="1:5" ht="22.05" customHeight="1" x14ac:dyDescent="0.3">
      <c r="A100" s="18" t="s">
        <v>391</v>
      </c>
      <c r="B100" s="122" t="s">
        <v>392</v>
      </c>
      <c r="C100" s="122"/>
      <c r="D100" s="122"/>
      <c r="E100" s="122"/>
    </row>
  </sheetData>
  <mergeCells count="49">
    <mergeCell ref="B9:E9"/>
    <mergeCell ref="A1:E1"/>
    <mergeCell ref="A2:E2"/>
    <mergeCell ref="A5:E5"/>
    <mergeCell ref="A6:E6"/>
    <mergeCell ref="A8:E8"/>
    <mergeCell ref="B44:E44"/>
    <mergeCell ref="B10:E10"/>
    <mergeCell ref="B11:E11"/>
    <mergeCell ref="B12:E12"/>
    <mergeCell ref="B13:E13"/>
    <mergeCell ref="B14:E14"/>
    <mergeCell ref="A16:E16"/>
    <mergeCell ref="A27:E27"/>
    <mergeCell ref="A40:E40"/>
    <mergeCell ref="B41:E41"/>
    <mergeCell ref="B42:E42"/>
    <mergeCell ref="B43:E43"/>
    <mergeCell ref="B58:E58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6:E56"/>
    <mergeCell ref="A57:E57"/>
    <mergeCell ref="B92:E92"/>
    <mergeCell ref="B59:E59"/>
    <mergeCell ref="B60:E60"/>
    <mergeCell ref="B61:E61"/>
    <mergeCell ref="B62:E62"/>
    <mergeCell ref="A64:E64"/>
    <mergeCell ref="A86:E86"/>
    <mergeCell ref="B87:E87"/>
    <mergeCell ref="B88:E88"/>
    <mergeCell ref="B89:E89"/>
    <mergeCell ref="B90:E90"/>
    <mergeCell ref="B91:E91"/>
    <mergeCell ref="B100:E100"/>
    <mergeCell ref="A94:E94"/>
    <mergeCell ref="B95:E95"/>
    <mergeCell ref="B96:E96"/>
    <mergeCell ref="B97:E97"/>
    <mergeCell ref="B98:E98"/>
    <mergeCell ref="B99:E99"/>
  </mergeCells>
  <hyperlinks>
    <hyperlink ref="A3" location="Dashboard!A1" display="→ Dashboard" xr:uid="{6D4DAE1A-22C2-4FEA-90F9-6ABCFB6E92CB}"/>
    <hyperlink ref="B3" location="Controls!A1" display="→ Controls" xr:uid="{B44E53AD-EBC0-40EB-BE2B-83231476A2A5}"/>
    <hyperlink ref="C3" location="Variance_Detail!A1" display="→ Variance" xr:uid="{D6A7EF3E-86BC-4D5B-BD2E-419BEDCB6E7C}"/>
    <hyperlink ref="D3" location="Processed_Model!A1" display="→ Model" xr:uid="{8C77B2F5-7EED-4083-BC1F-AA2DDA58F42E}"/>
    <hyperlink ref="E3" location="Raw_AUM!A1" display="→ Raw Data" xr:uid="{E588A019-595D-4EEB-A9E2-F430DC34181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C841-0B63-4469-AC08-060D4B827471}">
  <sheetPr>
    <tabColor rgb="FFC00000"/>
  </sheetPr>
  <dimension ref="A1:L51"/>
  <sheetViews>
    <sheetView topLeftCell="A42" zoomScaleNormal="100" workbookViewId="0">
      <selection activeCell="C51" sqref="C51:D51"/>
    </sheetView>
  </sheetViews>
  <sheetFormatPr defaultRowHeight="14.4" x14ac:dyDescent="0.3"/>
  <cols>
    <col min="1" max="8" width="17.5546875" customWidth="1"/>
    <col min="9" max="10" width="5.5546875" customWidth="1"/>
    <col min="11" max="12" width="8.88671875" hidden="1" customWidth="1"/>
  </cols>
  <sheetData>
    <row r="1" spans="1:10" ht="31.95" customHeight="1" x14ac:dyDescent="0.4">
      <c r="A1" s="145" t="s">
        <v>199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x14ac:dyDescent="0.3">
      <c r="A2" s="60" t="str">
        <f>"Reporting Period: "&amp;TEXT(Processed_Model!B2,"mmmm yyyy")&amp;"  |  Generated from automated pipeline"</f>
        <v>Reporting Period: September 2025  |  Generated from automated pipeline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5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2.05" customHeight="1" thickTop="1" x14ac:dyDescent="0.3">
      <c r="A4" s="146" t="s">
        <v>200</v>
      </c>
      <c r="B4" s="147"/>
      <c r="C4" s="149" t="s">
        <v>201</v>
      </c>
      <c r="D4" s="147"/>
      <c r="E4" s="151" t="s">
        <v>202</v>
      </c>
      <c r="F4" s="147"/>
      <c r="G4" s="138" t="s">
        <v>203</v>
      </c>
      <c r="H4" s="139"/>
      <c r="I4" s="2"/>
      <c r="J4" s="2"/>
    </row>
    <row r="5" spans="1:10" ht="31.95" customHeight="1" x14ac:dyDescent="0.3">
      <c r="A5" s="148">
        <f>SUMIFS(tblAUM[AUM_CAD_Billions],tblAUM[Date],Processed_Model!B2)</f>
        <v>428.88700000000006</v>
      </c>
      <c r="B5" s="59"/>
      <c r="C5" s="150">
        <f>IFERROR(SUMIFS(tblAUM[AUM_CAD_Billions],tblAUM[Date],Processed_Model!B2)/SUMIFS(tblAUM[AUM_CAD_Billions],tblAUM[Date],Processed_Model!B3)-1,"")</f>
        <v>-7.1281168458548372E-2</v>
      </c>
      <c r="D5" s="59"/>
      <c r="E5" s="148">
        <f>SUMIFS(tblGL[Amount_CAD_Millions],tblGL[Date],Processed_Model!B2,tblGL[Type],"Revenue")</f>
        <v>155.42899999999997</v>
      </c>
      <c r="F5" s="59"/>
      <c r="G5" s="140">
        <f>SUMIFS(tblGL[Amount_CAD_Millions],tblGL[Date],Processed_Model!B2)</f>
        <v>64.228000000000023</v>
      </c>
      <c r="H5" s="141"/>
      <c r="I5" s="2"/>
      <c r="J5" s="2"/>
    </row>
    <row r="6" spans="1:10" ht="7.95" customHeight="1" x14ac:dyDescent="0.3">
      <c r="A6" s="142"/>
      <c r="B6" s="59"/>
      <c r="C6" s="142"/>
      <c r="D6" s="59"/>
      <c r="E6" s="142"/>
      <c r="F6" s="59"/>
      <c r="G6" s="142"/>
      <c r="H6" s="141"/>
      <c r="I6" s="2"/>
      <c r="J6" s="2"/>
    </row>
    <row r="7" spans="1:10" ht="19.95" customHeight="1" thickBot="1" x14ac:dyDescent="0.35">
      <c r="A7" s="136" t="str">
        <f>"Prior: $"&amp;TEXT(SUMIFS(tblAUM[AUM_CAD_Billions],tblAUM[Date],Processed_Model!B3),"#,##0.0")&amp;"B"</f>
        <v>Prior: $461.8B</v>
      </c>
      <c r="B7" s="137"/>
      <c r="C7" s="136" t="str">
        <f>"$"&amp;TEXT(SUMIFS(tblAUM[AUM_CAD_Billions],tblAUM[Date],Processed_Model!B2)-SUMIFS(tblAUM[AUM_CAD_Billions],tblAUM[Date],Processed_Model!B3),"+#,##0.0;-#,##0.0")&amp;"B change"</f>
        <v>$-32.9B change</v>
      </c>
      <c r="D7" s="137"/>
      <c r="E7" s="136" t="str">
        <f>"vs Prior: "&amp;TEXT(IFERROR(SUMIFS(tblGL[Amount_CAD_Millions],tblGL[Date],Processed_Model!B2,tblGL[Type],"Revenue")/SUMIFS(tblGL[Amount_CAD_Millions],tblGL[Date],Processed_Model!B3,tblGL[Type],"Revenue")-1,""),"+0.0%;-0.0%")</f>
        <v>vs Prior: +4.2%</v>
      </c>
      <c r="F7" s="137"/>
      <c r="G7" s="136" t="str">
        <f>"Op Margin: "&amp;TEXT(IFERROR(SUMIFS(tblGL[Amount_CAD_Millions],tblGL[Date],Processed_Model!B2)/SUMIFS(tblGL[Amount_CAD_Millions],tblGL[Date],Processed_Model!B2,tblGL[Type],"Revenue"),""),"0.0%")</f>
        <v>Op Margin: 41.3%</v>
      </c>
      <c r="H7" s="143"/>
      <c r="I7" s="2"/>
      <c r="J7" s="2"/>
    </row>
    <row r="8" spans="1:10" ht="15" thickTop="1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133" t="s">
        <v>204</v>
      </c>
      <c r="B9" s="59"/>
      <c r="C9" s="59"/>
      <c r="D9" s="59"/>
      <c r="E9" s="144" t="s">
        <v>205</v>
      </c>
      <c r="F9" s="59"/>
      <c r="G9" s="59"/>
      <c r="H9" s="59"/>
      <c r="I9" s="2"/>
      <c r="J9" s="2"/>
    </row>
    <row r="10" spans="1:10" x14ac:dyDescent="0.3">
      <c r="A10" s="24" t="s">
        <v>1</v>
      </c>
      <c r="B10" s="24" t="s">
        <v>191</v>
      </c>
      <c r="C10" s="24" t="s">
        <v>192</v>
      </c>
      <c r="D10" s="51" t="s">
        <v>194</v>
      </c>
      <c r="E10" s="24" t="s">
        <v>167</v>
      </c>
      <c r="F10" s="24" t="s">
        <v>206</v>
      </c>
      <c r="G10" s="24"/>
      <c r="H10" s="24" t="s">
        <v>126</v>
      </c>
      <c r="I10" s="2"/>
      <c r="J10" s="2"/>
    </row>
    <row r="11" spans="1:10" x14ac:dyDescent="0.3">
      <c r="A11" s="7" t="s">
        <v>5</v>
      </c>
      <c r="B11" s="30">
        <f>SUMIFS(tblAUM[AUM_CAD_Billions],tblAUM[Date],Processed_Model!$B$2,tblAUM[Segment],A11)</f>
        <v>371.54599999999999</v>
      </c>
      <c r="C11" s="30">
        <f>SUMIFS(tblAUM[AUM_CAD_Billions],tblAUM[Date],Processed_Model!$B$3,tblAUM[Segment],A11)</f>
        <v>370.09100000000001</v>
      </c>
      <c r="D11" s="52">
        <f>IFERROR(B11/C11-1,"")</f>
        <v>3.9314655044300206E-3</v>
      </c>
      <c r="E11" s="7" t="s">
        <v>207</v>
      </c>
      <c r="F11" s="53">
        <f>COUNTIF(Controls!G6:G14,"FAIL")</f>
        <v>4</v>
      </c>
      <c r="G11" s="7"/>
      <c r="H11" s="7" t="str">
        <f>IF(F11=0,"✓ CLEAR","⚠ ATTENTION")</f>
        <v>⚠ ATTENTION</v>
      </c>
      <c r="I11" s="2"/>
      <c r="J11" s="2"/>
    </row>
    <row r="12" spans="1:10" x14ac:dyDescent="0.3">
      <c r="A12" s="7" t="s">
        <v>10</v>
      </c>
      <c r="B12" s="30">
        <f>SUMIFS(tblAUM[AUM_CAD_Billions],tblAUM[Date],Processed_Model!$B$2,tblAUM[Segment],A12)</f>
        <v>57.341000000000001</v>
      </c>
      <c r="C12" s="30">
        <f>SUMIFS(tblAUM[AUM_CAD_Billions],tblAUM[Date],Processed_Model!$B$3,tblAUM[Segment],A12)</f>
        <v>61.037999999999997</v>
      </c>
      <c r="D12" s="52">
        <f>IFERROR(B12/C12-1,"")</f>
        <v>-6.0568825977259988E-2</v>
      </c>
      <c r="E12" s="7" t="s">
        <v>208</v>
      </c>
      <c r="F12" s="53">
        <f>COUNTIFS(Controls!G18:G23,"FLAG")+COUNTIFS(Controls!G18:G23,"INVESTIGATE")</f>
        <v>3</v>
      </c>
      <c r="G12" s="7"/>
      <c r="H12" s="7" t="str">
        <f>IF(F12=0,"✓ CLEAR","⚠ ATTENTION")</f>
        <v>⚠ ATTENTION</v>
      </c>
      <c r="I12" s="2"/>
      <c r="J12" s="2"/>
    </row>
    <row r="13" spans="1:10" x14ac:dyDescent="0.3">
      <c r="A13" s="7" t="s">
        <v>11</v>
      </c>
      <c r="B13" s="30">
        <f>SUMIFS(tblAUM[AUM_CAD_Billions],tblAUM[Date],Processed_Model!$B$2,tblAUM[Segment],A13)</f>
        <v>0</v>
      </c>
      <c r="C13" s="30">
        <f>SUMIFS(tblAUM[AUM_CAD_Billions],tblAUM[Date],Processed_Model!$B$3,tblAUM[Segment],A13)</f>
        <v>30.676000000000002</v>
      </c>
      <c r="D13" s="52">
        <f>IFERROR(B13/C13-1,"")</f>
        <v>-1</v>
      </c>
      <c r="E13" s="7" t="s">
        <v>209</v>
      </c>
      <c r="F13" s="53" cm="1">
        <f t="array" ref="F13">SUMPRODUCT(--ISNUMBER(SEARCH("FAIL",Controls!G27:G33)))</f>
        <v>3</v>
      </c>
      <c r="G13" s="7"/>
      <c r="H13" s="7" t="str">
        <f>IF(F13=0,"✓ CLEAR","⚠ ATTENTION")</f>
        <v>⚠ ATTENTION</v>
      </c>
      <c r="I13" s="2"/>
      <c r="J13" s="2"/>
    </row>
    <row r="14" spans="1:10" x14ac:dyDescent="0.3">
      <c r="A14" s="35" t="s">
        <v>117</v>
      </c>
      <c r="B14" s="36">
        <f>SUM(B11:B13)</f>
        <v>428.887</v>
      </c>
      <c r="C14" s="36">
        <f>SUM(C11:C13)</f>
        <v>461.80500000000001</v>
      </c>
      <c r="D14" s="54">
        <f>IFERROR(B14/C14-1,"")</f>
        <v>-7.1281168458548483E-2</v>
      </c>
      <c r="E14" s="35" t="s">
        <v>210</v>
      </c>
      <c r="F14" s="55">
        <f>SUM(F11:F13)</f>
        <v>10</v>
      </c>
      <c r="G14" s="35"/>
      <c r="H14" s="35" t="str">
        <f>IF(F14=0,"✓ ALL CLEAR",F14&amp;" ITEM(S) OPEN")</f>
        <v>10 ITEM(S) OPEN</v>
      </c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 s="133" t="s">
        <v>211</v>
      </c>
      <c r="B50" s="59"/>
      <c r="C50" s="59"/>
      <c r="D50" s="59"/>
      <c r="E50" s="59"/>
      <c r="F50" s="59"/>
      <c r="G50" s="59"/>
      <c r="H50" s="59"/>
      <c r="I50" s="2"/>
      <c r="J50" s="2"/>
    </row>
    <row r="51" spans="1:10" ht="24" customHeight="1" x14ac:dyDescent="0.3">
      <c r="A51" s="134" t="s">
        <v>212</v>
      </c>
      <c r="B51" s="135"/>
      <c r="C51" s="134" t="s">
        <v>213</v>
      </c>
      <c r="D51" s="135"/>
      <c r="E51" s="134" t="s">
        <v>214</v>
      </c>
      <c r="F51" s="135"/>
      <c r="G51" s="134" t="s">
        <v>215</v>
      </c>
      <c r="H51" s="135"/>
      <c r="I51" s="2"/>
      <c r="J51" s="2"/>
    </row>
  </sheetData>
  <mergeCells count="21">
    <mergeCell ref="A1:J1"/>
    <mergeCell ref="A2:J2"/>
    <mergeCell ref="A4:B4"/>
    <mergeCell ref="A5:B6"/>
    <mergeCell ref="A7:B7"/>
    <mergeCell ref="C4:D4"/>
    <mergeCell ref="C5:D6"/>
    <mergeCell ref="C7:D7"/>
    <mergeCell ref="E4:F4"/>
    <mergeCell ref="E5:F6"/>
    <mergeCell ref="E7:F7"/>
    <mergeCell ref="G4:H4"/>
    <mergeCell ref="G5:H6"/>
    <mergeCell ref="G7:H7"/>
    <mergeCell ref="A9:D9"/>
    <mergeCell ref="E9:H9"/>
    <mergeCell ref="A50:H50"/>
    <mergeCell ref="A51:B51"/>
    <mergeCell ref="C51:D51"/>
    <mergeCell ref="E51:F51"/>
    <mergeCell ref="G51:H51"/>
  </mergeCells>
  <conditionalFormatting sqref="D11:D14">
    <cfRule type="cellIs" dxfId="34" priority="1" operator="greaterThan">
      <formula>0</formula>
    </cfRule>
    <cfRule type="cellIs" dxfId="33" priority="2" operator="lessThan">
      <formula>0</formula>
    </cfRule>
  </conditionalFormatting>
  <conditionalFormatting sqref="H11:H14">
    <cfRule type="containsText" dxfId="32" priority="3" operator="containsText" text="CLEAR">
      <formula>NOT(ISERROR(SEARCH("CLEAR",H11)))</formula>
    </cfRule>
    <cfRule type="containsText" dxfId="31" priority="4" operator="containsText" text="ATTENTION">
      <formula>NOT(ISERROR(SEARCH("ATTENTION",H11)))</formula>
    </cfRule>
    <cfRule type="containsText" dxfId="30" priority="5" operator="containsText" text="OPEN">
      <formula>NOT(ISERROR(SEARCH("OPEN",H11)))</formula>
    </cfRule>
  </conditionalFormatting>
  <hyperlinks>
    <hyperlink ref="A51" location="README!A1" tooltip="Jump to README!A1" display="→ README" xr:uid="{9AB7D9FA-8AF1-4D1F-AB3A-72FE0251031B}"/>
    <hyperlink ref="C51" location="Controls!A1" tooltip="Jump to Controls!A1" display="→ Controls Detail" xr:uid="{B8B9C781-9ED9-4FC0-B8C2-753F97CC27D9}"/>
    <hyperlink ref="E51" location="Variance_Detail!A1" tooltip="Jump to Variance_Detail!A1" display="→ Variance Detail" xr:uid="{E4C3C874-9576-46E3-9D80-CABFD99F909F}"/>
    <hyperlink ref="G51" location="Processed_Model!A1" tooltip="Jump to Processed_Model!A1" display="→ Processed Model" xr:uid="{A5BB15C8-4C83-467E-8A91-A062B130E4B4}"/>
  </hyperlinks>
  <pageMargins left="0.7" right="0.7" top="0.75" bottom="0.75" header="0.3" footer="0.3"/>
  <pageSetup paperSize="0" scale="70" orientation="landscape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7FCD-B778-4922-8174-1BA61BCEA604}">
  <sheetPr>
    <tabColor rgb="FFA6A6A6"/>
  </sheetPr>
  <dimension ref="A1:E214"/>
  <sheetViews>
    <sheetView workbookViewId="0">
      <pane ySplit="1" topLeftCell="A50" activePane="bottomLeft" state="frozen"/>
      <selection pane="bottomLeft"/>
    </sheetView>
  </sheetViews>
  <sheetFormatPr defaultRowHeight="14.4" x14ac:dyDescent="0.3"/>
  <cols>
    <col min="1" max="1" width="15.77734375" customWidth="1"/>
    <col min="2" max="2" width="24.109375" customWidth="1"/>
    <col min="3" max="3" width="20.33203125" customWidth="1"/>
    <col min="4" max="4" width="24.109375" customWidth="1"/>
    <col min="5" max="5" width="29.66406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19">
        <v>45200</v>
      </c>
      <c r="B2" s="2" t="s">
        <v>5</v>
      </c>
      <c r="C2" s="2" t="s">
        <v>6</v>
      </c>
      <c r="D2" s="20">
        <v>216.244</v>
      </c>
      <c r="E2" s="2" t="s">
        <v>7</v>
      </c>
    </row>
    <row r="3" spans="1:5" x14ac:dyDescent="0.3">
      <c r="A3" s="19">
        <v>45200</v>
      </c>
      <c r="B3" s="2" t="s">
        <v>5</v>
      </c>
      <c r="C3" s="2" t="s">
        <v>8</v>
      </c>
      <c r="D3" s="20">
        <v>28.132999999999999</v>
      </c>
      <c r="E3" s="2" t="s">
        <v>7</v>
      </c>
    </row>
    <row r="4" spans="1:5" x14ac:dyDescent="0.3">
      <c r="A4" s="19">
        <v>45200</v>
      </c>
      <c r="B4" s="2" t="s">
        <v>5</v>
      </c>
      <c r="C4" s="2" t="s">
        <v>9</v>
      </c>
      <c r="D4" s="20">
        <v>95.653999999999996</v>
      </c>
      <c r="E4" s="2" t="s">
        <v>7</v>
      </c>
    </row>
    <row r="5" spans="1:5" x14ac:dyDescent="0.3">
      <c r="A5" s="19">
        <v>45200</v>
      </c>
      <c r="B5" s="2" t="s">
        <v>10</v>
      </c>
      <c r="C5" s="2" t="s">
        <v>6</v>
      </c>
      <c r="D5" s="20">
        <v>18.073</v>
      </c>
      <c r="E5" s="2" t="s">
        <v>7</v>
      </c>
    </row>
    <row r="6" spans="1:5" x14ac:dyDescent="0.3">
      <c r="A6" s="19">
        <v>45200</v>
      </c>
      <c r="B6" s="2" t="s">
        <v>10</v>
      </c>
      <c r="C6" s="2" t="s">
        <v>8</v>
      </c>
      <c r="D6" s="20">
        <v>32.03</v>
      </c>
      <c r="E6" s="2" t="s">
        <v>7</v>
      </c>
    </row>
    <row r="7" spans="1:5" x14ac:dyDescent="0.3">
      <c r="A7" s="19">
        <v>45200</v>
      </c>
      <c r="B7" s="2" t="s">
        <v>10</v>
      </c>
      <c r="C7" s="2" t="s">
        <v>9</v>
      </c>
      <c r="D7" s="20">
        <v>6.02</v>
      </c>
      <c r="E7" s="2" t="s">
        <v>7</v>
      </c>
    </row>
    <row r="8" spans="1:5" x14ac:dyDescent="0.3">
      <c r="A8" s="19">
        <v>45200</v>
      </c>
      <c r="B8" s="2" t="s">
        <v>11</v>
      </c>
      <c r="C8" s="2" t="s">
        <v>6</v>
      </c>
      <c r="D8" s="20">
        <v>22.032</v>
      </c>
      <c r="E8" s="2" t="s">
        <v>7</v>
      </c>
    </row>
    <row r="9" spans="1:5" x14ac:dyDescent="0.3">
      <c r="A9" s="19">
        <v>45200</v>
      </c>
      <c r="B9" s="2" t="s">
        <v>11</v>
      </c>
      <c r="C9" s="2" t="s">
        <v>8</v>
      </c>
      <c r="D9" s="20">
        <v>3.9729999999999999</v>
      </c>
      <c r="E9" s="2" t="s">
        <v>7</v>
      </c>
    </row>
    <row r="10" spans="1:5" x14ac:dyDescent="0.3">
      <c r="A10" s="19">
        <v>45200</v>
      </c>
      <c r="B10" s="2" t="s">
        <v>11</v>
      </c>
      <c r="C10" s="2" t="s">
        <v>9</v>
      </c>
      <c r="D10" s="20">
        <v>2.0059999999999998</v>
      </c>
      <c r="E10" s="2" t="s">
        <v>7</v>
      </c>
    </row>
    <row r="11" spans="1:5" x14ac:dyDescent="0.3">
      <c r="A11" s="19">
        <v>45231</v>
      </c>
      <c r="B11" s="2" t="s">
        <v>5</v>
      </c>
      <c r="C11" s="2" t="s">
        <v>6</v>
      </c>
      <c r="D11" s="20">
        <v>216.76900000000001</v>
      </c>
      <c r="E11" s="2" t="s">
        <v>12</v>
      </c>
    </row>
    <row r="12" spans="1:5" x14ac:dyDescent="0.3">
      <c r="A12" s="19">
        <v>45231</v>
      </c>
      <c r="B12" s="2" t="s">
        <v>5</v>
      </c>
      <c r="C12" s="2" t="s">
        <v>8</v>
      </c>
      <c r="D12" s="20">
        <v>28.201000000000001</v>
      </c>
      <c r="E12" s="2" t="s">
        <v>12</v>
      </c>
    </row>
    <row r="13" spans="1:5" x14ac:dyDescent="0.3">
      <c r="A13" s="19">
        <v>45231</v>
      </c>
      <c r="B13" s="2" t="s">
        <v>5</v>
      </c>
      <c r="C13" s="2" t="s">
        <v>9</v>
      </c>
      <c r="D13" s="20">
        <v>95.125</v>
      </c>
      <c r="E13" s="2" t="s">
        <v>12</v>
      </c>
    </row>
    <row r="14" spans="1:5" x14ac:dyDescent="0.3">
      <c r="A14" s="19">
        <v>45231</v>
      </c>
      <c r="B14" s="2" t="s">
        <v>10</v>
      </c>
      <c r="C14" s="2" t="s">
        <v>6</v>
      </c>
      <c r="D14" s="20">
        <v>18.137</v>
      </c>
      <c r="E14" s="2" t="s">
        <v>12</v>
      </c>
    </row>
    <row r="15" spans="1:5" x14ac:dyDescent="0.3">
      <c r="A15" s="19">
        <v>45231</v>
      </c>
      <c r="B15" s="2" t="s">
        <v>10</v>
      </c>
      <c r="C15" s="2" t="s">
        <v>8</v>
      </c>
      <c r="D15" s="20">
        <v>32.344000000000001</v>
      </c>
      <c r="E15" s="2" t="s">
        <v>12</v>
      </c>
    </row>
    <row r="16" spans="1:5" x14ac:dyDescent="0.3">
      <c r="A16" s="19">
        <v>45231</v>
      </c>
      <c r="B16" s="2" t="s">
        <v>10</v>
      </c>
      <c r="C16" s="2" t="s">
        <v>9</v>
      </c>
      <c r="D16" s="20">
        <v>6.069</v>
      </c>
      <c r="E16" s="2" t="s">
        <v>12</v>
      </c>
    </row>
    <row r="17" spans="1:5" x14ac:dyDescent="0.3">
      <c r="A17" s="19">
        <v>45231</v>
      </c>
      <c r="B17" s="2" t="s">
        <v>11</v>
      </c>
      <c r="C17" s="2" t="s">
        <v>6</v>
      </c>
      <c r="D17" s="20">
        <v>22.218</v>
      </c>
      <c r="E17" s="2" t="s">
        <v>12</v>
      </c>
    </row>
    <row r="18" spans="1:5" x14ac:dyDescent="0.3">
      <c r="A18" s="19">
        <v>45231</v>
      </c>
      <c r="B18" s="2" t="s">
        <v>11</v>
      </c>
      <c r="C18" s="2" t="s">
        <v>8</v>
      </c>
      <c r="D18" s="20">
        <v>3.9969999999999999</v>
      </c>
      <c r="E18" s="2" t="s">
        <v>12</v>
      </c>
    </row>
    <row r="19" spans="1:5" x14ac:dyDescent="0.3">
      <c r="A19" s="19">
        <v>45231</v>
      </c>
      <c r="B19" s="2" t="s">
        <v>11</v>
      </c>
      <c r="C19" s="2" t="s">
        <v>9</v>
      </c>
      <c r="D19" s="20">
        <v>1.9970000000000001</v>
      </c>
      <c r="E19" s="2" t="s">
        <v>12</v>
      </c>
    </row>
    <row r="20" spans="1:5" x14ac:dyDescent="0.3">
      <c r="A20" s="19">
        <v>45261</v>
      </c>
      <c r="B20" s="2" t="s">
        <v>5</v>
      </c>
      <c r="C20" s="2" t="s">
        <v>6</v>
      </c>
      <c r="D20" s="20">
        <v>217.227</v>
      </c>
      <c r="E20" s="2" t="s">
        <v>13</v>
      </c>
    </row>
    <row r="21" spans="1:5" x14ac:dyDescent="0.3">
      <c r="A21" s="19">
        <v>45261</v>
      </c>
      <c r="B21" s="2" t="s">
        <v>5</v>
      </c>
      <c r="C21" s="2" t="s">
        <v>8</v>
      </c>
      <c r="D21" s="20">
        <v>28.364999999999998</v>
      </c>
      <c r="E21" s="2" t="s">
        <v>13</v>
      </c>
    </row>
    <row r="22" spans="1:5" x14ac:dyDescent="0.3">
      <c r="A22" s="19">
        <v>45261</v>
      </c>
      <c r="B22" s="2" t="s">
        <v>5</v>
      </c>
      <c r="C22" s="2" t="s">
        <v>9</v>
      </c>
      <c r="D22" s="20">
        <v>95.278000000000006</v>
      </c>
      <c r="E22" s="2" t="s">
        <v>13</v>
      </c>
    </row>
    <row r="23" spans="1:5" x14ac:dyDescent="0.3">
      <c r="A23" s="19">
        <v>45261</v>
      </c>
      <c r="B23" s="2" t="s">
        <v>10</v>
      </c>
      <c r="C23" s="2" t="s">
        <v>6</v>
      </c>
      <c r="D23" s="20">
        <v>18.128</v>
      </c>
      <c r="E23" s="2" t="s">
        <v>13</v>
      </c>
    </row>
    <row r="24" spans="1:5" x14ac:dyDescent="0.3">
      <c r="A24" s="19">
        <v>45261</v>
      </c>
      <c r="B24" s="2" t="s">
        <v>10</v>
      </c>
      <c r="C24" s="2" t="s">
        <v>8</v>
      </c>
      <c r="D24" s="20">
        <v>32.165999999999997</v>
      </c>
      <c r="E24" s="2" t="s">
        <v>13</v>
      </c>
    </row>
    <row r="25" spans="1:5" x14ac:dyDescent="0.3">
      <c r="A25" s="19">
        <v>45261</v>
      </c>
      <c r="B25" s="2" t="s">
        <v>10</v>
      </c>
      <c r="C25" s="2" t="s">
        <v>9</v>
      </c>
      <c r="D25" s="20">
        <v>6.048</v>
      </c>
      <c r="E25" s="2" t="s">
        <v>13</v>
      </c>
    </row>
    <row r="26" spans="1:5" x14ac:dyDescent="0.3">
      <c r="A26" s="19">
        <v>45261</v>
      </c>
      <c r="B26" s="2" t="s">
        <v>11</v>
      </c>
      <c r="C26" s="2" t="s">
        <v>6</v>
      </c>
      <c r="D26" s="20">
        <v>22.233000000000001</v>
      </c>
      <c r="E26" s="2" t="s">
        <v>13</v>
      </c>
    </row>
    <row r="27" spans="1:5" x14ac:dyDescent="0.3">
      <c r="A27" s="19">
        <v>45261</v>
      </c>
      <c r="B27" s="2" t="s">
        <v>11</v>
      </c>
      <c r="C27" s="2" t="s">
        <v>8</v>
      </c>
      <c r="D27" s="20">
        <v>4.0039999999999996</v>
      </c>
      <c r="E27" s="2" t="s">
        <v>13</v>
      </c>
    </row>
    <row r="28" spans="1:5" x14ac:dyDescent="0.3">
      <c r="A28" s="19">
        <v>45261</v>
      </c>
      <c r="B28" s="2" t="s">
        <v>11</v>
      </c>
      <c r="C28" s="2" t="s">
        <v>9</v>
      </c>
      <c r="D28" s="20">
        <v>2.0169999999999999</v>
      </c>
      <c r="E28" s="2" t="s">
        <v>13</v>
      </c>
    </row>
    <row r="29" spans="1:5" x14ac:dyDescent="0.3">
      <c r="A29" s="19">
        <v>45292</v>
      </c>
      <c r="B29" s="2" t="s">
        <v>5</v>
      </c>
      <c r="C29" s="2" t="s">
        <v>6</v>
      </c>
      <c r="D29" s="20">
        <v>218.43299999999999</v>
      </c>
      <c r="E29" s="2" t="s">
        <v>14</v>
      </c>
    </row>
    <row r="30" spans="1:5" x14ac:dyDescent="0.3">
      <c r="A30" s="19">
        <v>45292</v>
      </c>
      <c r="B30" s="2" t="s">
        <v>5</v>
      </c>
      <c r="C30" s="2" t="s">
        <v>8</v>
      </c>
      <c r="D30" s="20">
        <v>28.309000000000001</v>
      </c>
      <c r="E30" s="2" t="s">
        <v>14</v>
      </c>
    </row>
    <row r="31" spans="1:5" x14ac:dyDescent="0.3">
      <c r="A31" s="19">
        <v>45292</v>
      </c>
      <c r="B31" s="2" t="s">
        <v>5</v>
      </c>
      <c r="C31" s="2" t="s">
        <v>9</v>
      </c>
      <c r="D31" s="20">
        <v>96.481999999999999</v>
      </c>
      <c r="E31" s="2" t="s">
        <v>14</v>
      </c>
    </row>
    <row r="32" spans="1:5" x14ac:dyDescent="0.3">
      <c r="A32" s="19">
        <v>45292</v>
      </c>
      <c r="B32" s="2" t="s">
        <v>10</v>
      </c>
      <c r="C32" s="2" t="s">
        <v>6</v>
      </c>
      <c r="D32" s="20">
        <v>18.113</v>
      </c>
      <c r="E32" s="2" t="s">
        <v>14</v>
      </c>
    </row>
    <row r="33" spans="1:5" x14ac:dyDescent="0.3">
      <c r="A33" s="19">
        <v>45292</v>
      </c>
      <c r="B33" s="2" t="s">
        <v>10</v>
      </c>
      <c r="C33" s="2" t="s">
        <v>8</v>
      </c>
      <c r="D33" s="20">
        <v>32.582999999999998</v>
      </c>
      <c r="E33" s="2" t="s">
        <v>14</v>
      </c>
    </row>
    <row r="34" spans="1:5" x14ac:dyDescent="0.3">
      <c r="A34" s="19">
        <v>45292</v>
      </c>
      <c r="B34" s="2" t="s">
        <v>10</v>
      </c>
      <c r="C34" s="2" t="s">
        <v>9</v>
      </c>
      <c r="D34" s="20">
        <v>6.07</v>
      </c>
      <c r="E34" s="2" t="s">
        <v>14</v>
      </c>
    </row>
    <row r="35" spans="1:5" x14ac:dyDescent="0.3">
      <c r="A35" s="19">
        <v>45292</v>
      </c>
      <c r="B35" s="2" t="s">
        <v>11</v>
      </c>
      <c r="C35" s="2" t="s">
        <v>6</v>
      </c>
      <c r="D35" s="20">
        <v>22.157</v>
      </c>
      <c r="E35" s="2" t="s">
        <v>14</v>
      </c>
    </row>
    <row r="36" spans="1:5" x14ac:dyDescent="0.3">
      <c r="A36" s="19">
        <v>45292</v>
      </c>
      <c r="B36" s="2" t="s">
        <v>11</v>
      </c>
      <c r="C36" s="2" t="s">
        <v>8</v>
      </c>
      <c r="D36" s="20">
        <v>4.0709999999999997</v>
      </c>
      <c r="E36" s="2" t="s">
        <v>14</v>
      </c>
    </row>
    <row r="37" spans="1:5" x14ac:dyDescent="0.3">
      <c r="A37" s="19">
        <v>45292</v>
      </c>
      <c r="B37" s="2" t="s">
        <v>11</v>
      </c>
      <c r="C37" s="2" t="s">
        <v>9</v>
      </c>
      <c r="D37" s="20">
        <v>2.0150000000000001</v>
      </c>
      <c r="E37" s="2" t="s">
        <v>14</v>
      </c>
    </row>
    <row r="38" spans="1:5" x14ac:dyDescent="0.3">
      <c r="A38" s="19">
        <v>45323</v>
      </c>
      <c r="B38" s="2" t="s">
        <v>5</v>
      </c>
      <c r="C38" s="2" t="s">
        <v>6</v>
      </c>
      <c r="D38" s="20">
        <v>217.93899999999999</v>
      </c>
      <c r="E38" s="2" t="s">
        <v>15</v>
      </c>
    </row>
    <row r="39" spans="1:5" x14ac:dyDescent="0.3">
      <c r="A39" s="19">
        <v>45323</v>
      </c>
      <c r="B39" s="2" t="s">
        <v>5</v>
      </c>
      <c r="C39" s="2" t="s">
        <v>8</v>
      </c>
      <c r="D39" s="20">
        <v>28.562999999999999</v>
      </c>
      <c r="E39" s="2" t="s">
        <v>15</v>
      </c>
    </row>
    <row r="40" spans="1:5" x14ac:dyDescent="0.3">
      <c r="A40" s="19">
        <v>45323</v>
      </c>
      <c r="B40" s="2" t="s">
        <v>5</v>
      </c>
      <c r="C40" s="2" t="s">
        <v>9</v>
      </c>
      <c r="D40" s="20">
        <v>96.216999999999999</v>
      </c>
      <c r="E40" s="2" t="s">
        <v>15</v>
      </c>
    </row>
    <row r="41" spans="1:5" x14ac:dyDescent="0.3">
      <c r="A41" s="19">
        <v>45323</v>
      </c>
      <c r="B41" s="2" t="s">
        <v>10</v>
      </c>
      <c r="C41" s="2" t="s">
        <v>6</v>
      </c>
      <c r="D41" s="20">
        <v>18.161000000000001</v>
      </c>
      <c r="E41" s="2" t="s">
        <v>15</v>
      </c>
    </row>
    <row r="42" spans="1:5" x14ac:dyDescent="0.3">
      <c r="A42" s="19">
        <v>45323</v>
      </c>
      <c r="B42" s="2" t="s">
        <v>10</v>
      </c>
      <c r="C42" s="2" t="s">
        <v>8</v>
      </c>
      <c r="D42" s="20">
        <v>32.749000000000002</v>
      </c>
      <c r="E42" s="2" t="s">
        <v>15</v>
      </c>
    </row>
    <row r="43" spans="1:5" x14ac:dyDescent="0.3">
      <c r="A43" s="19">
        <v>45323</v>
      </c>
      <c r="B43" s="2" t="s">
        <v>10</v>
      </c>
      <c r="C43" s="2" t="s">
        <v>9</v>
      </c>
      <c r="D43" s="20">
        <v>6.0679999999999996</v>
      </c>
      <c r="E43" s="2" t="s">
        <v>15</v>
      </c>
    </row>
    <row r="44" spans="1:5" x14ac:dyDescent="0.3">
      <c r="A44" s="19">
        <v>45323</v>
      </c>
      <c r="B44" s="2" t="s">
        <v>11</v>
      </c>
      <c r="C44" s="2" t="s">
        <v>6</v>
      </c>
      <c r="D44" s="20">
        <v>22.408000000000001</v>
      </c>
      <c r="E44" s="2" t="s">
        <v>15</v>
      </c>
    </row>
    <row r="45" spans="1:5" x14ac:dyDescent="0.3">
      <c r="A45" s="19">
        <v>45323</v>
      </c>
      <c r="B45" s="2" t="s">
        <v>11</v>
      </c>
      <c r="C45" s="2" t="s">
        <v>8</v>
      </c>
      <c r="D45" s="20">
        <v>4.0910000000000002</v>
      </c>
      <c r="E45" s="2" t="s">
        <v>15</v>
      </c>
    </row>
    <row r="46" spans="1:5" x14ac:dyDescent="0.3">
      <c r="A46" s="19">
        <v>45323</v>
      </c>
      <c r="B46" s="2" t="s">
        <v>11</v>
      </c>
      <c r="C46" s="2" t="s">
        <v>9</v>
      </c>
      <c r="D46" s="20">
        <v>2.0259999999999998</v>
      </c>
      <c r="E46" s="2" t="s">
        <v>15</v>
      </c>
    </row>
    <row r="47" spans="1:5" x14ac:dyDescent="0.3">
      <c r="A47" s="19">
        <v>45352</v>
      </c>
      <c r="B47" s="2" t="s">
        <v>5</v>
      </c>
      <c r="C47" s="2" t="s">
        <v>6</v>
      </c>
      <c r="D47" s="20">
        <v>219.83600000000001</v>
      </c>
      <c r="E47" s="2" t="s">
        <v>16</v>
      </c>
    </row>
    <row r="48" spans="1:5" x14ac:dyDescent="0.3">
      <c r="A48" s="19">
        <v>45352</v>
      </c>
      <c r="B48" s="2" t="s">
        <v>5</v>
      </c>
      <c r="C48" s="2" t="s">
        <v>8</v>
      </c>
      <c r="D48" s="20">
        <v>28.381</v>
      </c>
      <c r="E48" s="2" t="s">
        <v>16</v>
      </c>
    </row>
    <row r="49" spans="1:5" x14ac:dyDescent="0.3">
      <c r="A49" s="19">
        <v>45352</v>
      </c>
      <c r="B49" s="2" t="s">
        <v>5</v>
      </c>
      <c r="C49" s="2" t="s">
        <v>9</v>
      </c>
      <c r="D49" s="20">
        <v>96.28</v>
      </c>
      <c r="E49" s="2" t="s">
        <v>16</v>
      </c>
    </row>
    <row r="50" spans="1:5" x14ac:dyDescent="0.3">
      <c r="A50" s="19">
        <v>45352</v>
      </c>
      <c r="B50" s="2" t="s">
        <v>10</v>
      </c>
      <c r="C50" s="2" t="s">
        <v>6</v>
      </c>
      <c r="D50" s="20">
        <v>18.34</v>
      </c>
      <c r="E50" s="2" t="s">
        <v>16</v>
      </c>
    </row>
    <row r="51" spans="1:5" x14ac:dyDescent="0.3">
      <c r="A51" s="19">
        <v>45352</v>
      </c>
      <c r="B51" s="2" t="s">
        <v>10</v>
      </c>
      <c r="C51" s="2" t="s">
        <v>8</v>
      </c>
      <c r="D51" s="20">
        <v>32.783000000000001</v>
      </c>
      <c r="E51" s="2" t="s">
        <v>16</v>
      </c>
    </row>
    <row r="52" spans="1:5" x14ac:dyDescent="0.3">
      <c r="A52" s="19">
        <v>45352</v>
      </c>
      <c r="B52" s="2" t="s">
        <v>10</v>
      </c>
      <c r="C52" s="2" t="s">
        <v>9</v>
      </c>
      <c r="D52" s="20">
        <v>6.1550000000000002</v>
      </c>
      <c r="E52" s="2" t="s">
        <v>16</v>
      </c>
    </row>
    <row r="53" spans="1:5" x14ac:dyDescent="0.3">
      <c r="A53" s="19">
        <v>45352</v>
      </c>
      <c r="B53" s="2" t="s">
        <v>11</v>
      </c>
      <c r="C53" s="2" t="s">
        <v>6</v>
      </c>
      <c r="D53" s="20">
        <v>22.402000000000001</v>
      </c>
      <c r="E53" s="2" t="s">
        <v>16</v>
      </c>
    </row>
    <row r="54" spans="1:5" x14ac:dyDescent="0.3">
      <c r="A54" s="19">
        <v>45352</v>
      </c>
      <c r="B54" s="2" t="s">
        <v>11</v>
      </c>
      <c r="C54" s="2" t="s">
        <v>8</v>
      </c>
      <c r="D54" s="20">
        <v>4.08</v>
      </c>
      <c r="E54" s="2" t="s">
        <v>16</v>
      </c>
    </row>
    <row r="55" spans="1:5" x14ac:dyDescent="0.3">
      <c r="A55" s="19">
        <v>45352</v>
      </c>
      <c r="B55" s="2" t="s">
        <v>11</v>
      </c>
      <c r="C55" s="2" t="s">
        <v>9</v>
      </c>
      <c r="D55" s="20">
        <v>2.0299999999999998</v>
      </c>
      <c r="E55" s="2" t="s">
        <v>16</v>
      </c>
    </row>
    <row r="56" spans="1:5" x14ac:dyDescent="0.3">
      <c r="A56" s="19">
        <v>45383</v>
      </c>
      <c r="B56" s="2" t="s">
        <v>5</v>
      </c>
      <c r="C56" s="2" t="s">
        <v>6</v>
      </c>
      <c r="D56" s="20">
        <v>221.67500000000001</v>
      </c>
      <c r="E56" s="2" t="s">
        <v>17</v>
      </c>
    </row>
    <row r="57" spans="1:5" x14ac:dyDescent="0.3">
      <c r="A57" s="19">
        <v>45383</v>
      </c>
      <c r="B57" s="2" t="s">
        <v>5</v>
      </c>
      <c r="C57" s="2" t="s">
        <v>8</v>
      </c>
      <c r="D57" s="20">
        <v>28.725999999999999</v>
      </c>
      <c r="E57" s="2" t="s">
        <v>17</v>
      </c>
    </row>
    <row r="58" spans="1:5" x14ac:dyDescent="0.3">
      <c r="A58" s="19">
        <v>45383</v>
      </c>
      <c r="B58" s="2" t="s">
        <v>5</v>
      </c>
      <c r="C58" s="2" t="s">
        <v>9</v>
      </c>
      <c r="D58" s="20">
        <v>97.043000000000006</v>
      </c>
      <c r="E58" s="2" t="s">
        <v>17</v>
      </c>
    </row>
    <row r="59" spans="1:5" x14ac:dyDescent="0.3">
      <c r="A59" s="19">
        <v>45383</v>
      </c>
      <c r="B59" s="2" t="s">
        <v>10</v>
      </c>
      <c r="C59" s="2" t="s">
        <v>6</v>
      </c>
      <c r="D59" s="20">
        <v>18.446000000000002</v>
      </c>
      <c r="E59" s="2" t="s">
        <v>17</v>
      </c>
    </row>
    <row r="60" spans="1:5" x14ac:dyDescent="0.3">
      <c r="A60" s="19">
        <v>45383</v>
      </c>
      <c r="B60" s="2" t="s">
        <v>10</v>
      </c>
      <c r="C60" s="2" t="s">
        <v>8</v>
      </c>
      <c r="D60" s="20">
        <v>32.807000000000002</v>
      </c>
      <c r="E60" s="2" t="s">
        <v>17</v>
      </c>
    </row>
    <row r="61" spans="1:5" x14ac:dyDescent="0.3">
      <c r="A61" s="19">
        <v>45383</v>
      </c>
      <c r="B61" s="2" t="s">
        <v>10</v>
      </c>
      <c r="C61" s="2" t="s">
        <v>9</v>
      </c>
      <c r="D61" s="20">
        <v>6.1719999999999997</v>
      </c>
      <c r="E61" s="2" t="s">
        <v>17</v>
      </c>
    </row>
    <row r="62" spans="1:5" x14ac:dyDescent="0.3">
      <c r="A62" s="19">
        <v>45383</v>
      </c>
      <c r="B62" s="2" t="s">
        <v>11</v>
      </c>
      <c r="C62" s="2" t="s">
        <v>6</v>
      </c>
      <c r="D62" s="20">
        <v>22.556999999999999</v>
      </c>
      <c r="E62" s="2" t="s">
        <v>17</v>
      </c>
    </row>
    <row r="63" spans="1:5" x14ac:dyDescent="0.3">
      <c r="A63" s="19">
        <v>45383</v>
      </c>
      <c r="B63" s="2" t="s">
        <v>11</v>
      </c>
      <c r="C63" s="2" t="s">
        <v>8</v>
      </c>
      <c r="D63" s="20">
        <v>4.1130000000000004</v>
      </c>
      <c r="E63" s="2" t="s">
        <v>17</v>
      </c>
    </row>
    <row r="64" spans="1:5" x14ac:dyDescent="0.3">
      <c r="A64" s="19">
        <v>45383</v>
      </c>
      <c r="B64" s="2" t="s">
        <v>11</v>
      </c>
      <c r="C64" s="2" t="s">
        <v>9</v>
      </c>
      <c r="D64" s="20">
        <v>2.0630000000000002</v>
      </c>
      <c r="E64" s="2" t="s">
        <v>17</v>
      </c>
    </row>
    <row r="65" spans="1:5" x14ac:dyDescent="0.3">
      <c r="A65" s="19">
        <v>45413</v>
      </c>
      <c r="B65" s="2" t="s">
        <v>5</v>
      </c>
      <c r="C65" s="2" t="s">
        <v>6</v>
      </c>
      <c r="D65" s="20">
        <v>220.97</v>
      </c>
      <c r="E65" s="2" t="s">
        <v>18</v>
      </c>
    </row>
    <row r="66" spans="1:5" x14ac:dyDescent="0.3">
      <c r="A66" s="19">
        <v>45413</v>
      </c>
      <c r="B66" s="2" t="s">
        <v>5</v>
      </c>
      <c r="C66" s="2" t="s">
        <v>8</v>
      </c>
      <c r="D66" s="20">
        <v>28.849</v>
      </c>
      <c r="E66" s="2" t="s">
        <v>18</v>
      </c>
    </row>
    <row r="67" spans="1:5" x14ac:dyDescent="0.3">
      <c r="A67" s="19">
        <v>45413</v>
      </c>
      <c r="B67" s="2" t="s">
        <v>5</v>
      </c>
      <c r="C67" s="2" t="s">
        <v>9</v>
      </c>
      <c r="D67" s="20">
        <v>97.412999999999997</v>
      </c>
      <c r="E67" s="2" t="s">
        <v>18</v>
      </c>
    </row>
    <row r="68" spans="1:5" x14ac:dyDescent="0.3">
      <c r="A68" s="19">
        <v>45413</v>
      </c>
      <c r="B68" s="2" t="s">
        <v>10</v>
      </c>
      <c r="C68" s="2" t="s">
        <v>6</v>
      </c>
      <c r="D68" s="20">
        <v>18.547000000000001</v>
      </c>
      <c r="E68" s="2" t="s">
        <v>18</v>
      </c>
    </row>
    <row r="69" spans="1:5" x14ac:dyDescent="0.3">
      <c r="A69" s="19">
        <v>45413</v>
      </c>
      <c r="B69" s="2" t="s">
        <v>10</v>
      </c>
      <c r="C69" s="2" t="s">
        <v>8</v>
      </c>
      <c r="D69" s="20">
        <v>32.942999999999998</v>
      </c>
      <c r="E69" s="2" t="s">
        <v>18</v>
      </c>
    </row>
    <row r="70" spans="1:5" x14ac:dyDescent="0.3">
      <c r="A70" s="19">
        <v>45413</v>
      </c>
      <c r="B70" s="2" t="s">
        <v>10</v>
      </c>
      <c r="C70" s="2" t="s">
        <v>9</v>
      </c>
      <c r="D70" s="20">
        <v>6.141</v>
      </c>
      <c r="E70" s="2" t="s">
        <v>18</v>
      </c>
    </row>
    <row r="71" spans="1:5" x14ac:dyDescent="0.3">
      <c r="A71" s="19">
        <v>45413</v>
      </c>
      <c r="B71" s="2" t="s">
        <v>11</v>
      </c>
      <c r="C71" s="2" t="s">
        <v>6</v>
      </c>
      <c r="D71" s="20">
        <v>22.620999999999999</v>
      </c>
      <c r="E71" s="2" t="s">
        <v>18</v>
      </c>
    </row>
    <row r="72" spans="1:5" x14ac:dyDescent="0.3">
      <c r="A72" s="19">
        <v>45413</v>
      </c>
      <c r="B72" s="2" t="s">
        <v>11</v>
      </c>
      <c r="C72" s="2" t="s">
        <v>8</v>
      </c>
      <c r="D72" s="20">
        <v>4.0839999999999996</v>
      </c>
      <c r="E72" s="2" t="s">
        <v>18</v>
      </c>
    </row>
    <row r="73" spans="1:5" x14ac:dyDescent="0.3">
      <c r="A73" s="19">
        <v>45413</v>
      </c>
      <c r="B73" s="2" t="s">
        <v>11</v>
      </c>
      <c r="C73" s="2" t="s">
        <v>9</v>
      </c>
      <c r="D73" s="20">
        <v>2.0419999999999998</v>
      </c>
      <c r="E73" s="2" t="s">
        <v>18</v>
      </c>
    </row>
    <row r="74" spans="1:5" x14ac:dyDescent="0.3">
      <c r="A74" s="19">
        <v>45444</v>
      </c>
      <c r="B74" s="2" t="s">
        <v>5</v>
      </c>
      <c r="C74" s="2" t="s">
        <v>6</v>
      </c>
      <c r="D74" s="20">
        <v>221.851</v>
      </c>
      <c r="E74" s="2" t="s">
        <v>19</v>
      </c>
    </row>
    <row r="75" spans="1:5" x14ac:dyDescent="0.3">
      <c r="A75" s="19">
        <v>45444</v>
      </c>
      <c r="B75" s="2" t="s">
        <v>5</v>
      </c>
      <c r="C75" s="2" t="s">
        <v>8</v>
      </c>
      <c r="D75" s="20">
        <v>28.855</v>
      </c>
      <c r="E75" s="2" t="s">
        <v>19</v>
      </c>
    </row>
    <row r="76" spans="1:5" x14ac:dyDescent="0.3">
      <c r="A76" s="19">
        <v>45444</v>
      </c>
      <c r="B76" s="2" t="s">
        <v>5</v>
      </c>
      <c r="C76" s="2" t="s">
        <v>9</v>
      </c>
      <c r="D76" s="20">
        <v>97.753</v>
      </c>
      <c r="E76" s="2" t="s">
        <v>19</v>
      </c>
    </row>
    <row r="77" spans="1:5" x14ac:dyDescent="0.3">
      <c r="A77" s="19">
        <v>45444</v>
      </c>
      <c r="B77" s="2" t="s">
        <v>10</v>
      </c>
      <c r="C77" s="2" t="s">
        <v>6</v>
      </c>
      <c r="D77" s="20">
        <v>18.712</v>
      </c>
      <c r="E77" s="2" t="s">
        <v>19</v>
      </c>
    </row>
    <row r="78" spans="1:5" x14ac:dyDescent="0.3">
      <c r="A78" s="19">
        <v>45444</v>
      </c>
      <c r="B78" s="2" t="s">
        <v>10</v>
      </c>
      <c r="C78" s="2" t="s">
        <v>8</v>
      </c>
      <c r="D78" s="20">
        <v>32.822000000000003</v>
      </c>
      <c r="E78" s="2" t="s">
        <v>19</v>
      </c>
    </row>
    <row r="79" spans="1:5" x14ac:dyDescent="0.3">
      <c r="A79" s="19">
        <v>45444</v>
      </c>
      <c r="B79" s="2" t="s">
        <v>10</v>
      </c>
      <c r="C79" s="2" t="s">
        <v>9</v>
      </c>
      <c r="D79" s="20">
        <v>6.1779999999999999</v>
      </c>
      <c r="E79" s="2" t="s">
        <v>19</v>
      </c>
    </row>
    <row r="80" spans="1:5" x14ac:dyDescent="0.3">
      <c r="A80" s="19">
        <v>45444</v>
      </c>
      <c r="B80" s="2" t="s">
        <v>11</v>
      </c>
      <c r="C80" s="2" t="s">
        <v>6</v>
      </c>
      <c r="D80" s="20">
        <v>22.678000000000001</v>
      </c>
      <c r="E80" s="2" t="s">
        <v>19</v>
      </c>
    </row>
    <row r="81" spans="1:5" x14ac:dyDescent="0.3">
      <c r="A81" s="19">
        <v>45444</v>
      </c>
      <c r="B81" s="2" t="s">
        <v>11</v>
      </c>
      <c r="C81" s="2" t="s">
        <v>8</v>
      </c>
      <c r="D81" s="20">
        <v>4.13</v>
      </c>
      <c r="E81" s="2" t="s">
        <v>19</v>
      </c>
    </row>
    <row r="82" spans="1:5" x14ac:dyDescent="0.3">
      <c r="A82" s="19">
        <v>45444</v>
      </c>
      <c r="B82" s="2" t="s">
        <v>11</v>
      </c>
      <c r="C82" s="2" t="s">
        <v>9</v>
      </c>
      <c r="D82" s="20">
        <v>2.0670000000000002</v>
      </c>
      <c r="E82" s="2" t="s">
        <v>19</v>
      </c>
    </row>
    <row r="83" spans="1:5" x14ac:dyDescent="0.3">
      <c r="A83" s="19">
        <v>45474</v>
      </c>
      <c r="B83" s="2" t="s">
        <v>5</v>
      </c>
      <c r="C83" s="2" t="s">
        <v>6</v>
      </c>
      <c r="D83" s="20">
        <v>221.83</v>
      </c>
      <c r="E83" s="2" t="s">
        <v>20</v>
      </c>
    </row>
    <row r="84" spans="1:5" x14ac:dyDescent="0.3">
      <c r="A84" s="19">
        <v>45474</v>
      </c>
      <c r="B84" s="2" t="s">
        <v>5</v>
      </c>
      <c r="C84" s="2" t="s">
        <v>8</v>
      </c>
      <c r="D84" s="20">
        <v>28.850999999999999</v>
      </c>
      <c r="E84" s="2" t="s">
        <v>20</v>
      </c>
    </row>
    <row r="85" spans="1:5" x14ac:dyDescent="0.3">
      <c r="A85" s="19">
        <v>45474</v>
      </c>
      <c r="B85" s="2" t="s">
        <v>5</v>
      </c>
      <c r="C85" s="2" t="s">
        <v>9</v>
      </c>
      <c r="D85" s="20">
        <v>98.433999999999997</v>
      </c>
      <c r="E85" s="2" t="s">
        <v>20</v>
      </c>
    </row>
    <row r="86" spans="1:5" x14ac:dyDescent="0.3">
      <c r="A86" s="19">
        <v>45474</v>
      </c>
      <c r="B86" s="2" t="s">
        <v>10</v>
      </c>
      <c r="C86" s="2" t="s">
        <v>6</v>
      </c>
      <c r="D86" s="20">
        <v>18.731999999999999</v>
      </c>
      <c r="E86" s="2" t="s">
        <v>20</v>
      </c>
    </row>
    <row r="87" spans="1:5" x14ac:dyDescent="0.3">
      <c r="A87" s="19">
        <v>45474</v>
      </c>
      <c r="B87" s="2" t="s">
        <v>10</v>
      </c>
      <c r="C87" s="2" t="s">
        <v>8</v>
      </c>
      <c r="D87" s="20">
        <v>33.063000000000002</v>
      </c>
      <c r="E87" s="2" t="s">
        <v>20</v>
      </c>
    </row>
    <row r="88" spans="1:5" x14ac:dyDescent="0.3">
      <c r="A88" s="19">
        <v>45474</v>
      </c>
      <c r="B88" s="2" t="s">
        <v>10</v>
      </c>
      <c r="C88" s="2" t="s">
        <v>9</v>
      </c>
      <c r="D88" s="20">
        <v>6.2119999999999997</v>
      </c>
      <c r="E88" s="2" t="s">
        <v>20</v>
      </c>
    </row>
    <row r="89" spans="1:5" x14ac:dyDescent="0.3">
      <c r="A89" s="19">
        <v>45474</v>
      </c>
      <c r="B89" s="2" t="s">
        <v>11</v>
      </c>
      <c r="C89" s="2" t="s">
        <v>6</v>
      </c>
      <c r="D89" s="20">
        <v>22.812999999999999</v>
      </c>
      <c r="E89" s="2" t="s">
        <v>20</v>
      </c>
    </row>
    <row r="90" spans="1:5" x14ac:dyDescent="0.3">
      <c r="A90" s="19">
        <v>45474</v>
      </c>
      <c r="B90" s="2" t="s">
        <v>11</v>
      </c>
      <c r="C90" s="2" t="s">
        <v>8</v>
      </c>
      <c r="D90" s="20">
        <v>4.1440000000000001</v>
      </c>
      <c r="E90" s="2" t="s">
        <v>20</v>
      </c>
    </row>
    <row r="91" spans="1:5" x14ac:dyDescent="0.3">
      <c r="A91" s="19">
        <v>45474</v>
      </c>
      <c r="B91" s="2" t="s">
        <v>11</v>
      </c>
      <c r="C91" s="2" t="s">
        <v>9</v>
      </c>
      <c r="D91" s="20">
        <v>2.0840000000000001</v>
      </c>
      <c r="E91" s="2" t="s">
        <v>20</v>
      </c>
    </row>
    <row r="92" spans="1:5" x14ac:dyDescent="0.3">
      <c r="A92" s="19">
        <v>45505</v>
      </c>
      <c r="B92" s="2" t="s">
        <v>5</v>
      </c>
      <c r="C92" s="2" t="s">
        <v>6</v>
      </c>
      <c r="D92" s="20">
        <v>225.09200000000001</v>
      </c>
      <c r="E92" s="2" t="s">
        <v>21</v>
      </c>
    </row>
    <row r="93" spans="1:5" x14ac:dyDescent="0.3">
      <c r="A93" s="19">
        <v>45505</v>
      </c>
      <c r="B93" s="2" t="s">
        <v>5</v>
      </c>
      <c r="C93" s="2" t="s">
        <v>8</v>
      </c>
      <c r="D93" s="20">
        <v>28.946000000000002</v>
      </c>
      <c r="E93" s="2" t="s">
        <v>21</v>
      </c>
    </row>
    <row r="94" spans="1:5" x14ac:dyDescent="0.3">
      <c r="A94" s="19">
        <v>45505</v>
      </c>
      <c r="B94" s="2" t="s">
        <v>5</v>
      </c>
      <c r="C94" s="2" t="s">
        <v>9</v>
      </c>
      <c r="D94" s="20">
        <v>98.344999999999999</v>
      </c>
      <c r="E94" s="2" t="s">
        <v>21</v>
      </c>
    </row>
    <row r="95" spans="1:5" x14ac:dyDescent="0.3">
      <c r="A95" s="19">
        <v>45505</v>
      </c>
      <c r="B95" s="2" t="s">
        <v>10</v>
      </c>
      <c r="C95" s="2" t="s">
        <v>6</v>
      </c>
      <c r="D95" s="20">
        <v>18.675999999999998</v>
      </c>
      <c r="E95" s="2" t="s">
        <v>21</v>
      </c>
    </row>
    <row r="96" spans="1:5" x14ac:dyDescent="0.3">
      <c r="A96" s="19">
        <v>45505</v>
      </c>
      <c r="B96" s="2" t="s">
        <v>10</v>
      </c>
      <c r="C96" s="2" t="s">
        <v>8</v>
      </c>
      <c r="D96" s="20">
        <v>33.293999999999997</v>
      </c>
      <c r="E96" s="2" t="s">
        <v>21</v>
      </c>
    </row>
    <row r="97" spans="1:5" x14ac:dyDescent="0.3">
      <c r="A97" s="19">
        <v>45505</v>
      </c>
      <c r="B97" s="2" t="s">
        <v>10</v>
      </c>
      <c r="C97" s="2" t="s">
        <v>9</v>
      </c>
      <c r="D97" s="20">
        <v>6.2679999999999998</v>
      </c>
      <c r="E97" s="2" t="s">
        <v>21</v>
      </c>
    </row>
    <row r="98" spans="1:5" x14ac:dyDescent="0.3">
      <c r="A98" s="19">
        <v>45505</v>
      </c>
      <c r="B98" s="2" t="s">
        <v>11</v>
      </c>
      <c r="C98" s="2" t="s">
        <v>6</v>
      </c>
      <c r="D98" s="20">
        <v>22.771000000000001</v>
      </c>
      <c r="E98" s="2" t="s">
        <v>21</v>
      </c>
    </row>
    <row r="99" spans="1:5" x14ac:dyDescent="0.3">
      <c r="A99" s="19">
        <v>45505</v>
      </c>
      <c r="B99" s="2" t="s">
        <v>11</v>
      </c>
      <c r="C99" s="2" t="s">
        <v>8</v>
      </c>
      <c r="D99" s="20">
        <v>4.141</v>
      </c>
      <c r="E99" s="2" t="s">
        <v>21</v>
      </c>
    </row>
    <row r="100" spans="1:5" x14ac:dyDescent="0.3">
      <c r="A100" s="19">
        <v>45505</v>
      </c>
      <c r="B100" s="2" t="s">
        <v>11</v>
      </c>
      <c r="C100" s="2" t="s">
        <v>9</v>
      </c>
      <c r="D100" s="20">
        <v>2.069</v>
      </c>
      <c r="E100" s="2" t="s">
        <v>21</v>
      </c>
    </row>
    <row r="101" spans="1:5" x14ac:dyDescent="0.3">
      <c r="A101" s="19">
        <v>45536</v>
      </c>
      <c r="B101" s="2" t="s">
        <v>5</v>
      </c>
      <c r="C101" s="2" t="s">
        <v>6</v>
      </c>
      <c r="D101" s="20">
        <v>225.779</v>
      </c>
      <c r="E101" s="2" t="s">
        <v>22</v>
      </c>
    </row>
    <row r="102" spans="1:5" x14ac:dyDescent="0.3">
      <c r="A102" s="19">
        <v>45536</v>
      </c>
      <c r="B102" s="2" t="s">
        <v>5</v>
      </c>
      <c r="C102" s="2" t="s">
        <v>8</v>
      </c>
      <c r="D102" s="20">
        <v>29.253</v>
      </c>
      <c r="E102" s="2" t="s">
        <v>22</v>
      </c>
    </row>
    <row r="103" spans="1:5" x14ac:dyDescent="0.3">
      <c r="A103" s="19">
        <v>45536</v>
      </c>
      <c r="B103" s="2" t="s">
        <v>5</v>
      </c>
      <c r="C103" s="2" t="s">
        <v>9</v>
      </c>
      <c r="D103" s="20">
        <v>99.340999999999994</v>
      </c>
      <c r="E103" s="2" t="s">
        <v>22</v>
      </c>
    </row>
    <row r="104" spans="1:5" x14ac:dyDescent="0.3">
      <c r="A104" s="19">
        <v>45536</v>
      </c>
      <c r="B104" s="2" t="s">
        <v>10</v>
      </c>
      <c r="C104" s="2" t="s">
        <v>6</v>
      </c>
      <c r="D104" s="20">
        <v>18.895</v>
      </c>
      <c r="E104" s="2" t="s">
        <v>22</v>
      </c>
    </row>
    <row r="105" spans="1:5" x14ac:dyDescent="0.3">
      <c r="A105" s="19">
        <v>45536</v>
      </c>
      <c r="B105" s="2" t="s">
        <v>10</v>
      </c>
      <c r="C105" s="2" t="s">
        <v>8</v>
      </c>
      <c r="D105" s="20">
        <v>33.640999999999998</v>
      </c>
      <c r="E105" s="2" t="s">
        <v>22</v>
      </c>
    </row>
    <row r="106" spans="1:5" x14ac:dyDescent="0.3">
      <c r="A106" s="19">
        <v>45536</v>
      </c>
      <c r="B106" s="2" t="s">
        <v>10</v>
      </c>
      <c r="C106" s="2" t="s">
        <v>9</v>
      </c>
      <c r="D106" s="20">
        <v>6.2759999999999998</v>
      </c>
      <c r="E106" s="2" t="s">
        <v>22</v>
      </c>
    </row>
    <row r="107" spans="1:5" x14ac:dyDescent="0.3">
      <c r="A107" s="19">
        <v>45536</v>
      </c>
      <c r="B107" s="2" t="s">
        <v>11</v>
      </c>
      <c r="C107" s="2" t="s">
        <v>6</v>
      </c>
      <c r="D107" s="20">
        <v>22.978999999999999</v>
      </c>
      <c r="E107" s="2" t="s">
        <v>22</v>
      </c>
    </row>
    <row r="108" spans="1:5" x14ac:dyDescent="0.3">
      <c r="A108" s="19">
        <v>45536</v>
      </c>
      <c r="B108" s="2" t="s">
        <v>11</v>
      </c>
      <c r="C108" s="2" t="s">
        <v>8</v>
      </c>
      <c r="D108" s="20">
        <v>4.2</v>
      </c>
      <c r="E108" s="2" t="s">
        <v>22</v>
      </c>
    </row>
    <row r="109" spans="1:5" x14ac:dyDescent="0.3">
      <c r="A109" s="19">
        <v>45536</v>
      </c>
      <c r="B109" s="2" t="s">
        <v>11</v>
      </c>
      <c r="C109" s="2" t="s">
        <v>9</v>
      </c>
      <c r="D109" s="20">
        <v>2.0920000000000001</v>
      </c>
      <c r="E109" s="2" t="s">
        <v>22</v>
      </c>
    </row>
    <row r="110" spans="1:5" x14ac:dyDescent="0.3">
      <c r="A110" s="19">
        <v>45566</v>
      </c>
      <c r="B110" s="2" t="s">
        <v>5</v>
      </c>
      <c r="C110" s="2" t="s">
        <v>6</v>
      </c>
      <c r="D110" s="20">
        <v>224.70500000000001</v>
      </c>
      <c r="E110" s="2" t="s">
        <v>23</v>
      </c>
    </row>
    <row r="111" spans="1:5" x14ac:dyDescent="0.3">
      <c r="A111" s="19">
        <v>45566</v>
      </c>
      <c r="B111" s="2" t="s">
        <v>5</v>
      </c>
      <c r="C111" s="2" t="s">
        <v>8</v>
      </c>
      <c r="D111" s="20">
        <v>29.442</v>
      </c>
      <c r="E111" s="2" t="s">
        <v>23</v>
      </c>
    </row>
    <row r="112" spans="1:5" x14ac:dyDescent="0.3">
      <c r="A112" s="19">
        <v>45566</v>
      </c>
      <c r="B112" s="2" t="s">
        <v>5</v>
      </c>
      <c r="C112" s="2" t="s">
        <v>9</v>
      </c>
      <c r="D112" s="20">
        <v>100.31100000000001</v>
      </c>
      <c r="E112" s="2" t="s">
        <v>23</v>
      </c>
    </row>
    <row r="113" spans="1:5" x14ac:dyDescent="0.3">
      <c r="A113" s="19">
        <v>45566</v>
      </c>
      <c r="B113" s="2" t="s">
        <v>10</v>
      </c>
      <c r="C113" s="2" t="s">
        <v>6</v>
      </c>
      <c r="D113" s="20">
        <v>18.898</v>
      </c>
      <c r="E113" s="2" t="s">
        <v>23</v>
      </c>
    </row>
    <row r="114" spans="1:5" x14ac:dyDescent="0.3">
      <c r="A114" s="19">
        <v>45566</v>
      </c>
      <c r="B114" s="2" t="s">
        <v>10</v>
      </c>
      <c r="C114" s="2" t="s">
        <v>8</v>
      </c>
      <c r="D114" s="20">
        <v>33.728999999999999</v>
      </c>
      <c r="E114" s="2" t="s">
        <v>23</v>
      </c>
    </row>
    <row r="115" spans="1:5" x14ac:dyDescent="0.3">
      <c r="A115" s="19">
        <v>45566</v>
      </c>
      <c r="B115" s="2" t="s">
        <v>10</v>
      </c>
      <c r="C115" s="2" t="s">
        <v>9</v>
      </c>
      <c r="D115" s="20">
        <v>6.258</v>
      </c>
      <c r="E115" s="2" t="s">
        <v>23</v>
      </c>
    </row>
    <row r="116" spans="1:5" x14ac:dyDescent="0.3">
      <c r="A116" s="19">
        <v>45566</v>
      </c>
      <c r="B116" s="2" t="s">
        <v>11</v>
      </c>
      <c r="C116" s="2" t="s">
        <v>6</v>
      </c>
      <c r="D116" s="20">
        <v>23.181000000000001</v>
      </c>
      <c r="E116" s="2" t="s">
        <v>23</v>
      </c>
    </row>
    <row r="117" spans="1:5" x14ac:dyDescent="0.3">
      <c r="A117" s="19">
        <v>45566</v>
      </c>
      <c r="B117" s="2" t="s">
        <v>11</v>
      </c>
      <c r="C117" s="2" t="s">
        <v>8</v>
      </c>
      <c r="D117" s="20">
        <v>4.21</v>
      </c>
      <c r="E117" s="2" t="s">
        <v>23</v>
      </c>
    </row>
    <row r="118" spans="1:5" x14ac:dyDescent="0.3">
      <c r="A118" s="19">
        <v>45566</v>
      </c>
      <c r="B118" s="2" t="s">
        <v>11</v>
      </c>
      <c r="C118" s="2" t="s">
        <v>9</v>
      </c>
      <c r="D118" s="20">
        <v>2.0990000000000002</v>
      </c>
      <c r="E118" s="2" t="s">
        <v>23</v>
      </c>
    </row>
    <row r="119" spans="1:5" x14ac:dyDescent="0.3">
      <c r="A119" s="19">
        <v>45597</v>
      </c>
      <c r="B119" s="2" t="s">
        <v>5</v>
      </c>
      <c r="C119" s="2" t="s">
        <v>6</v>
      </c>
      <c r="D119" s="20">
        <v>226.096</v>
      </c>
      <c r="E119" s="2" t="s">
        <v>24</v>
      </c>
    </row>
    <row r="120" spans="1:5" x14ac:dyDescent="0.3">
      <c r="A120" s="19">
        <v>45597</v>
      </c>
      <c r="B120" s="2" t="s">
        <v>5</v>
      </c>
      <c r="C120" s="2" t="s">
        <v>8</v>
      </c>
      <c r="D120" s="20">
        <v>29.623000000000001</v>
      </c>
      <c r="E120" s="2" t="s">
        <v>24</v>
      </c>
    </row>
    <row r="121" spans="1:5" x14ac:dyDescent="0.3">
      <c r="A121" s="19">
        <v>45597</v>
      </c>
      <c r="B121" s="2" t="s">
        <v>5</v>
      </c>
      <c r="C121" s="2" t="s">
        <v>9</v>
      </c>
      <c r="D121" s="20">
        <v>100.131</v>
      </c>
      <c r="E121" s="2" t="s">
        <v>24</v>
      </c>
    </row>
    <row r="122" spans="1:5" x14ac:dyDescent="0.3">
      <c r="A122" s="19">
        <v>45597</v>
      </c>
      <c r="B122" s="2" t="s">
        <v>10</v>
      </c>
      <c r="C122" s="2" t="s">
        <v>6</v>
      </c>
      <c r="D122" s="20">
        <v>19.036000000000001</v>
      </c>
      <c r="E122" s="2" t="s">
        <v>24</v>
      </c>
    </row>
    <row r="123" spans="1:5" x14ac:dyDescent="0.3">
      <c r="A123" s="19">
        <v>45597</v>
      </c>
      <c r="B123" s="2" t="s">
        <v>10</v>
      </c>
      <c r="C123" s="2" t="s">
        <v>8</v>
      </c>
      <c r="D123" s="20">
        <v>33.68</v>
      </c>
      <c r="E123" s="2" t="s">
        <v>24</v>
      </c>
    </row>
    <row r="124" spans="1:5" x14ac:dyDescent="0.3">
      <c r="A124" s="19">
        <v>45597</v>
      </c>
      <c r="B124" s="2" t="s">
        <v>10</v>
      </c>
      <c r="C124" s="2" t="s">
        <v>9</v>
      </c>
      <c r="D124" s="20">
        <v>6.3319999999999999</v>
      </c>
      <c r="E124" s="2" t="s">
        <v>24</v>
      </c>
    </row>
    <row r="125" spans="1:5" x14ac:dyDescent="0.3">
      <c r="A125" s="19">
        <v>45597</v>
      </c>
      <c r="B125" s="2" t="s">
        <v>11</v>
      </c>
      <c r="C125" s="2" t="s">
        <v>6</v>
      </c>
      <c r="D125" s="20">
        <v>23.117000000000001</v>
      </c>
      <c r="E125" s="2" t="s">
        <v>24</v>
      </c>
    </row>
    <row r="126" spans="1:5" x14ac:dyDescent="0.3">
      <c r="A126" s="19">
        <v>45597</v>
      </c>
      <c r="B126" s="2" t="s">
        <v>11</v>
      </c>
      <c r="C126" s="2" t="s">
        <v>8</v>
      </c>
      <c r="D126" s="20">
        <v>4.1879999999999997</v>
      </c>
      <c r="E126" s="2" t="s">
        <v>24</v>
      </c>
    </row>
    <row r="127" spans="1:5" x14ac:dyDescent="0.3">
      <c r="A127" s="19">
        <v>45597</v>
      </c>
      <c r="B127" s="2" t="s">
        <v>11</v>
      </c>
      <c r="C127" s="2" t="s">
        <v>9</v>
      </c>
      <c r="D127" s="20">
        <v>2.097</v>
      </c>
      <c r="E127" s="2" t="s">
        <v>24</v>
      </c>
    </row>
    <row r="128" spans="1:5" x14ac:dyDescent="0.3">
      <c r="A128" s="19">
        <v>45627</v>
      </c>
      <c r="B128" s="2" t="s">
        <v>5</v>
      </c>
      <c r="C128" s="2" t="s">
        <v>6</v>
      </c>
      <c r="D128" s="20">
        <v>227.42400000000001</v>
      </c>
      <c r="E128" s="2" t="s">
        <v>25</v>
      </c>
    </row>
    <row r="129" spans="1:5" x14ac:dyDescent="0.3">
      <c r="A129" s="19">
        <v>45627</v>
      </c>
      <c r="B129" s="2" t="s">
        <v>5</v>
      </c>
      <c r="C129" s="2" t="s">
        <v>8</v>
      </c>
      <c r="D129" s="20">
        <v>29.462</v>
      </c>
      <c r="E129" s="2" t="s">
        <v>25</v>
      </c>
    </row>
    <row r="130" spans="1:5" x14ac:dyDescent="0.3">
      <c r="A130" s="19">
        <v>45627</v>
      </c>
      <c r="B130" s="2" t="s">
        <v>5</v>
      </c>
      <c r="C130" s="2" t="s">
        <v>9</v>
      </c>
      <c r="D130" s="20">
        <v>100.67</v>
      </c>
      <c r="E130" s="2" t="s">
        <v>25</v>
      </c>
    </row>
    <row r="131" spans="1:5" x14ac:dyDescent="0.3">
      <c r="A131" s="19">
        <v>45627</v>
      </c>
      <c r="B131" s="2" t="s">
        <v>10</v>
      </c>
      <c r="C131" s="2" t="s">
        <v>6</v>
      </c>
      <c r="D131" s="20">
        <v>19.097999999999999</v>
      </c>
      <c r="E131" s="2" t="s">
        <v>25</v>
      </c>
    </row>
    <row r="132" spans="1:5" x14ac:dyDescent="0.3">
      <c r="A132" s="19">
        <v>45627</v>
      </c>
      <c r="B132" s="2" t="s">
        <v>10</v>
      </c>
      <c r="C132" s="2" t="s">
        <v>8</v>
      </c>
      <c r="D132" s="20">
        <v>33.619</v>
      </c>
      <c r="E132" s="2" t="s">
        <v>25</v>
      </c>
    </row>
    <row r="133" spans="1:5" x14ac:dyDescent="0.3">
      <c r="A133" s="19">
        <v>45627</v>
      </c>
      <c r="B133" s="2" t="s">
        <v>10</v>
      </c>
      <c r="C133" s="2" t="s">
        <v>9</v>
      </c>
      <c r="D133" s="20">
        <v>6.3339999999999996</v>
      </c>
      <c r="E133" s="2" t="s">
        <v>25</v>
      </c>
    </row>
    <row r="134" spans="1:5" x14ac:dyDescent="0.3">
      <c r="A134" s="19">
        <v>45627</v>
      </c>
      <c r="B134" s="2" t="s">
        <v>11</v>
      </c>
      <c r="C134" s="2" t="s">
        <v>6</v>
      </c>
      <c r="D134" s="20">
        <v>23.219000000000001</v>
      </c>
      <c r="E134" s="2" t="s">
        <v>25</v>
      </c>
    </row>
    <row r="135" spans="1:5" x14ac:dyDescent="0.3">
      <c r="A135" s="19">
        <v>45627</v>
      </c>
      <c r="B135" s="2" t="s">
        <v>11</v>
      </c>
      <c r="C135" s="2" t="s">
        <v>8</v>
      </c>
      <c r="D135" s="20">
        <v>4.2119999999999997</v>
      </c>
      <c r="E135" s="2" t="s">
        <v>25</v>
      </c>
    </row>
    <row r="136" spans="1:5" x14ac:dyDescent="0.3">
      <c r="A136" s="19">
        <v>45627</v>
      </c>
      <c r="B136" s="2" t="s">
        <v>11</v>
      </c>
      <c r="C136" s="2" t="s">
        <v>9</v>
      </c>
      <c r="D136" s="20">
        <v>2.1259999999999999</v>
      </c>
      <c r="E136" s="2" t="s">
        <v>25</v>
      </c>
    </row>
    <row r="137" spans="1:5" x14ac:dyDescent="0.3">
      <c r="A137" s="19">
        <v>45658</v>
      </c>
      <c r="B137" s="2" t="s">
        <v>5</v>
      </c>
      <c r="C137" s="2" t="s">
        <v>6</v>
      </c>
      <c r="D137" s="20">
        <v>229.54300000000001</v>
      </c>
      <c r="E137" s="2" t="s">
        <v>26</v>
      </c>
    </row>
    <row r="138" spans="1:5" x14ac:dyDescent="0.3">
      <c r="A138" s="19">
        <v>45658</v>
      </c>
      <c r="B138" s="2" t="s">
        <v>5</v>
      </c>
      <c r="C138" s="2" t="s">
        <v>8</v>
      </c>
      <c r="D138" s="20">
        <v>29.513999999999999</v>
      </c>
      <c r="E138" s="2" t="s">
        <v>26</v>
      </c>
    </row>
    <row r="139" spans="1:5" x14ac:dyDescent="0.3">
      <c r="A139" s="19">
        <v>45658</v>
      </c>
      <c r="B139" s="2" t="s">
        <v>5</v>
      </c>
      <c r="C139" s="2" t="s">
        <v>9</v>
      </c>
      <c r="D139" s="20">
        <v>100.801</v>
      </c>
      <c r="E139" s="2" t="s">
        <v>26</v>
      </c>
    </row>
    <row r="140" spans="1:5" x14ac:dyDescent="0.3">
      <c r="A140" s="19">
        <v>45658</v>
      </c>
      <c r="B140" s="2" t="s">
        <v>10</v>
      </c>
      <c r="C140" s="2" t="s">
        <v>6</v>
      </c>
      <c r="D140" s="20">
        <v>19.154</v>
      </c>
      <c r="E140" s="2" t="s">
        <v>26</v>
      </c>
    </row>
    <row r="141" spans="1:5" x14ac:dyDescent="0.3">
      <c r="A141" s="19">
        <v>45658</v>
      </c>
      <c r="B141" s="2" t="s">
        <v>10</v>
      </c>
      <c r="C141" s="2" t="s">
        <v>8</v>
      </c>
      <c r="D141" s="20">
        <v>34.183999999999997</v>
      </c>
      <c r="E141" s="2" t="s">
        <v>26</v>
      </c>
    </row>
    <row r="142" spans="1:5" x14ac:dyDescent="0.3">
      <c r="A142" s="19">
        <v>45658</v>
      </c>
      <c r="B142" s="2" t="s">
        <v>10</v>
      </c>
      <c r="C142" s="2" t="s">
        <v>9</v>
      </c>
      <c r="D142" s="20">
        <v>6.3810000000000002</v>
      </c>
      <c r="E142" s="2" t="s">
        <v>26</v>
      </c>
    </row>
    <row r="143" spans="1:5" x14ac:dyDescent="0.3">
      <c r="A143" s="19">
        <v>45658</v>
      </c>
      <c r="B143" s="2" t="s">
        <v>11</v>
      </c>
      <c r="C143" s="2" t="s">
        <v>6</v>
      </c>
      <c r="D143" s="20">
        <v>23.225999999999999</v>
      </c>
      <c r="E143" s="2" t="s">
        <v>26</v>
      </c>
    </row>
    <row r="144" spans="1:5" x14ac:dyDescent="0.3">
      <c r="A144" s="19">
        <v>45658</v>
      </c>
      <c r="B144" s="2" t="s">
        <v>11</v>
      </c>
      <c r="C144" s="2" t="s">
        <v>8</v>
      </c>
      <c r="D144" s="20">
        <v>4.234</v>
      </c>
      <c r="E144" s="2" t="s">
        <v>26</v>
      </c>
    </row>
    <row r="145" spans="1:5" x14ac:dyDescent="0.3">
      <c r="A145" s="19">
        <v>45658</v>
      </c>
      <c r="B145" s="2" t="s">
        <v>11</v>
      </c>
      <c r="C145" s="2" t="s">
        <v>9</v>
      </c>
      <c r="D145" s="20">
        <v>2.1309999999999998</v>
      </c>
      <c r="E145" s="2" t="s">
        <v>26</v>
      </c>
    </row>
    <row r="146" spans="1:5" x14ac:dyDescent="0.3">
      <c r="A146" s="19">
        <v>45689</v>
      </c>
      <c r="B146" s="2" t="s">
        <v>5</v>
      </c>
      <c r="C146" s="2" t="s">
        <v>6</v>
      </c>
      <c r="D146" s="20">
        <v>229.88499999999999</v>
      </c>
      <c r="E146" s="2" t="s">
        <v>27</v>
      </c>
    </row>
    <row r="147" spans="1:5" x14ac:dyDescent="0.3">
      <c r="A147" s="19">
        <v>45689</v>
      </c>
      <c r="B147" s="2" t="s">
        <v>5</v>
      </c>
      <c r="C147" s="2" t="s">
        <v>8</v>
      </c>
      <c r="D147" s="20">
        <v>29.890999999999998</v>
      </c>
      <c r="E147" s="2" t="s">
        <v>27</v>
      </c>
    </row>
    <row r="148" spans="1:5" x14ac:dyDescent="0.3">
      <c r="A148" s="19">
        <v>45689</v>
      </c>
      <c r="B148" s="2" t="s">
        <v>5</v>
      </c>
      <c r="C148" s="2" t="s">
        <v>9</v>
      </c>
      <c r="D148" s="20">
        <v>100.901</v>
      </c>
      <c r="E148" s="2" t="s">
        <v>27</v>
      </c>
    </row>
    <row r="149" spans="1:5" x14ac:dyDescent="0.3">
      <c r="A149" s="19">
        <v>45689</v>
      </c>
      <c r="B149" s="2" t="s">
        <v>10</v>
      </c>
      <c r="C149" s="2" t="s">
        <v>6</v>
      </c>
      <c r="D149" s="20">
        <v>19.277000000000001</v>
      </c>
      <c r="E149" s="2" t="s">
        <v>27</v>
      </c>
    </row>
    <row r="150" spans="1:5" x14ac:dyDescent="0.3">
      <c r="A150" s="19">
        <v>45689</v>
      </c>
      <c r="B150" s="2" t="s">
        <v>10</v>
      </c>
      <c r="C150" s="2" t="s">
        <v>8</v>
      </c>
      <c r="D150" s="20">
        <v>33.973999999999997</v>
      </c>
      <c r="E150" s="2" t="s">
        <v>27</v>
      </c>
    </row>
    <row r="151" spans="1:5" x14ac:dyDescent="0.3">
      <c r="A151" s="19">
        <v>45689</v>
      </c>
      <c r="B151" s="2" t="s">
        <v>10</v>
      </c>
      <c r="C151" s="2" t="s">
        <v>9</v>
      </c>
      <c r="D151" s="20">
        <v>6.4029999999999996</v>
      </c>
      <c r="E151" s="2" t="s">
        <v>27</v>
      </c>
    </row>
    <row r="152" spans="1:5" x14ac:dyDescent="0.3">
      <c r="A152" s="19">
        <v>45689</v>
      </c>
      <c r="B152" s="2" t="s">
        <v>11</v>
      </c>
      <c r="C152" s="2" t="s">
        <v>6</v>
      </c>
      <c r="D152" s="20">
        <v>23.577999999999999</v>
      </c>
      <c r="E152" s="2" t="s">
        <v>27</v>
      </c>
    </row>
    <row r="153" spans="1:5" x14ac:dyDescent="0.3">
      <c r="A153" s="19">
        <v>45689</v>
      </c>
      <c r="B153" s="2" t="s">
        <v>11</v>
      </c>
      <c r="C153" s="2" t="s">
        <v>8</v>
      </c>
      <c r="D153" s="20">
        <v>4.2709999999999999</v>
      </c>
      <c r="E153" s="2" t="s">
        <v>27</v>
      </c>
    </row>
    <row r="154" spans="1:5" x14ac:dyDescent="0.3">
      <c r="A154" s="19">
        <v>45689</v>
      </c>
      <c r="B154" s="2" t="s">
        <v>11</v>
      </c>
      <c r="C154" s="2" t="s">
        <v>9</v>
      </c>
      <c r="D154" s="20">
        <v>2.12</v>
      </c>
      <c r="E154" s="2" t="s">
        <v>27</v>
      </c>
    </row>
    <row r="155" spans="1:5" x14ac:dyDescent="0.3">
      <c r="A155" s="19">
        <v>45717</v>
      </c>
      <c r="B155" s="2" t="s">
        <v>5</v>
      </c>
      <c r="C155" s="2" t="s">
        <v>6</v>
      </c>
      <c r="D155" s="20">
        <v>229.292</v>
      </c>
      <c r="E155" s="2" t="s">
        <v>28</v>
      </c>
    </row>
    <row r="156" spans="1:5" x14ac:dyDescent="0.3">
      <c r="A156" s="19">
        <v>45717</v>
      </c>
      <c r="B156" s="2" t="s">
        <v>5</v>
      </c>
      <c r="C156" s="2" t="s">
        <v>8</v>
      </c>
      <c r="D156" s="20">
        <v>29.812999999999999</v>
      </c>
      <c r="E156" s="2" t="s">
        <v>28</v>
      </c>
    </row>
    <row r="157" spans="1:5" x14ac:dyDescent="0.3">
      <c r="A157" s="19">
        <v>45717</v>
      </c>
      <c r="B157" s="2" t="s">
        <v>5</v>
      </c>
      <c r="C157" s="2" t="s">
        <v>9</v>
      </c>
      <c r="D157" s="20">
        <v>101.349</v>
      </c>
      <c r="E157" s="2" t="s">
        <v>28</v>
      </c>
    </row>
    <row r="158" spans="1:5" x14ac:dyDescent="0.3">
      <c r="A158" s="19">
        <v>45717</v>
      </c>
      <c r="B158" s="2" t="s">
        <v>10</v>
      </c>
      <c r="C158" s="2" t="s">
        <v>6</v>
      </c>
      <c r="D158" s="20">
        <v>19.248999999999999</v>
      </c>
      <c r="E158" s="2" t="s">
        <v>28</v>
      </c>
    </row>
    <row r="159" spans="1:5" x14ac:dyDescent="0.3">
      <c r="A159" s="19">
        <v>45717</v>
      </c>
      <c r="B159" s="2" t="s">
        <v>10</v>
      </c>
      <c r="C159" s="2" t="s">
        <v>8</v>
      </c>
      <c r="D159" s="20">
        <v>34.137</v>
      </c>
      <c r="E159" s="2" t="s">
        <v>28</v>
      </c>
    </row>
    <row r="160" spans="1:5" x14ac:dyDescent="0.3">
      <c r="A160" s="19">
        <v>45717</v>
      </c>
      <c r="B160" s="2" t="s">
        <v>10</v>
      </c>
      <c r="C160" s="2" t="s">
        <v>9</v>
      </c>
      <c r="D160" s="20">
        <v>6.423</v>
      </c>
      <c r="E160" s="2" t="s">
        <v>28</v>
      </c>
    </row>
    <row r="161" spans="1:5" x14ac:dyDescent="0.3">
      <c r="A161" s="19">
        <v>45717</v>
      </c>
      <c r="B161" s="2" t="s">
        <v>11</v>
      </c>
      <c r="C161" s="2" t="s">
        <v>6</v>
      </c>
      <c r="D161" s="20">
        <v>23.658999999999999</v>
      </c>
      <c r="E161" s="2" t="s">
        <v>28</v>
      </c>
    </row>
    <row r="162" spans="1:5" x14ac:dyDescent="0.3">
      <c r="A162" s="19">
        <v>45717</v>
      </c>
      <c r="B162" s="2" t="s">
        <v>11</v>
      </c>
      <c r="C162" s="2" t="s">
        <v>8</v>
      </c>
      <c r="D162" s="20">
        <v>4.2750000000000004</v>
      </c>
      <c r="E162" s="2" t="s">
        <v>28</v>
      </c>
    </row>
    <row r="163" spans="1:5" x14ac:dyDescent="0.3">
      <c r="A163" s="19">
        <v>45717</v>
      </c>
      <c r="B163" s="2" t="s">
        <v>11</v>
      </c>
      <c r="C163" s="2" t="s">
        <v>9</v>
      </c>
      <c r="D163" s="20">
        <v>2.1309999999999998</v>
      </c>
      <c r="E163" s="2" t="s">
        <v>28</v>
      </c>
    </row>
    <row r="164" spans="1:5" x14ac:dyDescent="0.3">
      <c r="A164" s="19">
        <v>45748</v>
      </c>
      <c r="B164" s="2" t="s">
        <v>5</v>
      </c>
      <c r="C164" s="2" t="s">
        <v>6</v>
      </c>
      <c r="D164" s="20">
        <v>232.083</v>
      </c>
      <c r="E164" s="2" t="s">
        <v>29</v>
      </c>
    </row>
    <row r="165" spans="1:5" x14ac:dyDescent="0.3">
      <c r="A165" s="19">
        <v>45748</v>
      </c>
      <c r="B165" s="2" t="s">
        <v>5</v>
      </c>
      <c r="C165" s="2" t="s">
        <v>8</v>
      </c>
      <c r="D165" s="20">
        <v>30.288</v>
      </c>
      <c r="E165" s="2" t="s">
        <v>29</v>
      </c>
    </row>
    <row r="166" spans="1:5" x14ac:dyDescent="0.3">
      <c r="A166" s="19">
        <v>45748</v>
      </c>
      <c r="B166" s="2" t="s">
        <v>5</v>
      </c>
      <c r="C166" s="2" t="s">
        <v>9</v>
      </c>
      <c r="D166" s="20">
        <v>102.533</v>
      </c>
      <c r="E166" s="2" t="s">
        <v>29</v>
      </c>
    </row>
    <row r="167" spans="1:5" x14ac:dyDescent="0.3">
      <c r="A167" s="19">
        <v>45748</v>
      </c>
      <c r="B167" s="2" t="s">
        <v>10</v>
      </c>
      <c r="C167" s="2" t="s">
        <v>6</v>
      </c>
      <c r="D167" s="20">
        <v>19.433</v>
      </c>
      <c r="E167" s="2" t="s">
        <v>29</v>
      </c>
    </row>
    <row r="168" spans="1:5" x14ac:dyDescent="0.3">
      <c r="A168" s="19">
        <v>45748</v>
      </c>
      <c r="B168" s="2" t="s">
        <v>10</v>
      </c>
      <c r="C168" s="2" t="s">
        <v>8</v>
      </c>
      <c r="D168" s="20">
        <v>34.29</v>
      </c>
      <c r="E168" s="2" t="s">
        <v>29</v>
      </c>
    </row>
    <row r="169" spans="1:5" x14ac:dyDescent="0.3">
      <c r="A169" s="19">
        <v>45748</v>
      </c>
      <c r="B169" s="2" t="s">
        <v>10</v>
      </c>
      <c r="C169" s="2" t="s">
        <v>9</v>
      </c>
      <c r="D169" s="20">
        <v>6.4649999999999999</v>
      </c>
      <c r="E169" s="2" t="s">
        <v>29</v>
      </c>
    </row>
    <row r="170" spans="1:5" x14ac:dyDescent="0.3">
      <c r="A170" s="19">
        <v>45748</v>
      </c>
      <c r="B170" s="2" t="s">
        <v>11</v>
      </c>
      <c r="C170" s="2" t="s">
        <v>6</v>
      </c>
      <c r="D170" s="20">
        <v>23.556999999999999</v>
      </c>
      <c r="E170" s="2" t="s">
        <v>29</v>
      </c>
    </row>
    <row r="171" spans="1:5" x14ac:dyDescent="0.3">
      <c r="A171" s="19">
        <v>45748</v>
      </c>
      <c r="B171" s="2" t="s">
        <v>11</v>
      </c>
      <c r="C171" s="2" t="s">
        <v>8</v>
      </c>
      <c r="D171" s="20">
        <v>4.3259999999999996</v>
      </c>
      <c r="E171" s="2" t="s">
        <v>29</v>
      </c>
    </row>
    <row r="172" spans="1:5" x14ac:dyDescent="0.3">
      <c r="A172" s="19">
        <v>45748</v>
      </c>
      <c r="B172" s="2" t="s">
        <v>11</v>
      </c>
      <c r="C172" s="2" t="s">
        <v>9</v>
      </c>
      <c r="D172" s="20">
        <v>2.1419999999999999</v>
      </c>
      <c r="E172" s="2" t="s">
        <v>29</v>
      </c>
    </row>
    <row r="173" spans="1:5" x14ac:dyDescent="0.3">
      <c r="A173" s="19">
        <v>45778</v>
      </c>
      <c r="B173" s="2" t="s">
        <v>5</v>
      </c>
      <c r="C173" s="2" t="s">
        <v>6</v>
      </c>
      <c r="D173" s="20">
        <v>232.21100000000001</v>
      </c>
      <c r="E173" s="2" t="s">
        <v>30</v>
      </c>
    </row>
    <row r="174" spans="1:5" x14ac:dyDescent="0.3">
      <c r="A174" s="19">
        <v>45778</v>
      </c>
      <c r="B174" s="2" t="s">
        <v>5</v>
      </c>
      <c r="C174" s="2" t="s">
        <v>8</v>
      </c>
      <c r="D174" s="20">
        <v>30.077000000000002</v>
      </c>
      <c r="E174" s="2" t="s">
        <v>30</v>
      </c>
    </row>
    <row r="175" spans="1:5" x14ac:dyDescent="0.3">
      <c r="A175" s="19">
        <v>45778</v>
      </c>
      <c r="B175" s="2" t="s">
        <v>5</v>
      </c>
      <c r="C175" s="2" t="s">
        <v>9</v>
      </c>
      <c r="D175" s="20">
        <v>101.771</v>
      </c>
      <c r="E175" s="2" t="s">
        <v>30</v>
      </c>
    </row>
    <row r="176" spans="1:5" x14ac:dyDescent="0.3">
      <c r="A176" s="19">
        <v>45778</v>
      </c>
      <c r="B176" s="2" t="s">
        <v>10</v>
      </c>
      <c r="C176" s="2" t="s">
        <v>6</v>
      </c>
      <c r="D176" s="20">
        <v>19.32</v>
      </c>
      <c r="E176" s="2" t="s">
        <v>30</v>
      </c>
    </row>
    <row r="177" spans="1:5" x14ac:dyDescent="0.3">
      <c r="A177" s="19">
        <v>45778</v>
      </c>
      <c r="B177" s="2" t="s">
        <v>10</v>
      </c>
      <c r="C177" s="2" t="s">
        <v>8</v>
      </c>
      <c r="D177" s="20">
        <v>34.561999999999998</v>
      </c>
      <c r="E177" s="2" t="s">
        <v>30</v>
      </c>
    </row>
    <row r="178" spans="1:5" x14ac:dyDescent="0.3">
      <c r="A178" s="19">
        <v>45778</v>
      </c>
      <c r="B178" s="2" t="s">
        <v>10</v>
      </c>
      <c r="C178" s="2" t="s">
        <v>9</v>
      </c>
      <c r="D178" s="20">
        <v>6.4560000000000004</v>
      </c>
      <c r="E178" s="2" t="s">
        <v>30</v>
      </c>
    </row>
    <row r="179" spans="1:5" x14ac:dyDescent="0.3">
      <c r="A179" s="19">
        <v>45778</v>
      </c>
      <c r="B179" s="2" t="s">
        <v>11</v>
      </c>
      <c r="C179" s="2" t="s">
        <v>6</v>
      </c>
      <c r="D179" s="20">
        <v>23.712</v>
      </c>
      <c r="E179" s="2" t="s">
        <v>30</v>
      </c>
    </row>
    <row r="180" spans="1:5" x14ac:dyDescent="0.3">
      <c r="A180" s="19">
        <v>45778</v>
      </c>
      <c r="B180" s="2" t="s">
        <v>11</v>
      </c>
      <c r="C180" s="2" t="s">
        <v>8</v>
      </c>
      <c r="D180" s="20">
        <v>4.3109999999999999</v>
      </c>
      <c r="E180" s="2" t="s">
        <v>30</v>
      </c>
    </row>
    <row r="181" spans="1:5" x14ac:dyDescent="0.3">
      <c r="A181" s="19">
        <v>45778</v>
      </c>
      <c r="B181" s="2" t="s">
        <v>11</v>
      </c>
      <c r="C181" s="2" t="s">
        <v>9</v>
      </c>
      <c r="D181" s="20">
        <v>2.161</v>
      </c>
      <c r="E181" s="2" t="s">
        <v>30</v>
      </c>
    </row>
    <row r="182" spans="1:5" x14ac:dyDescent="0.3">
      <c r="A182" s="19">
        <v>45809</v>
      </c>
      <c r="B182" s="2" t="s">
        <v>5</v>
      </c>
      <c r="C182" s="2" t="s">
        <v>6</v>
      </c>
      <c r="D182" s="20">
        <v>234.01</v>
      </c>
      <c r="E182" s="2" t="s">
        <v>31</v>
      </c>
    </row>
    <row r="183" spans="1:5" x14ac:dyDescent="0.3">
      <c r="A183" s="19">
        <v>45809</v>
      </c>
      <c r="B183" s="2" t="s">
        <v>5</v>
      </c>
      <c r="C183" s="2" t="s">
        <v>8</v>
      </c>
      <c r="D183" s="20">
        <v>30.196000000000002</v>
      </c>
      <c r="E183" s="2" t="s">
        <v>31</v>
      </c>
    </row>
    <row r="184" spans="1:5" x14ac:dyDescent="0.3">
      <c r="A184" s="19">
        <v>45809</v>
      </c>
      <c r="B184" s="2" t="s">
        <v>5</v>
      </c>
      <c r="C184" s="2" t="s">
        <v>9</v>
      </c>
      <c r="D184" s="20">
        <v>102.512</v>
      </c>
      <c r="E184" s="2" t="s">
        <v>31</v>
      </c>
    </row>
    <row r="185" spans="1:5" x14ac:dyDescent="0.3">
      <c r="A185" s="19">
        <v>45809</v>
      </c>
      <c r="B185" s="2" t="s">
        <v>10</v>
      </c>
      <c r="C185" s="2" t="s">
        <v>6</v>
      </c>
      <c r="D185" s="20">
        <v>19.565999999999999</v>
      </c>
      <c r="E185" s="2" t="s">
        <v>31</v>
      </c>
    </row>
    <row r="186" spans="1:5" x14ac:dyDescent="0.3">
      <c r="A186" s="19">
        <v>45809</v>
      </c>
      <c r="B186" s="2" t="s">
        <v>10</v>
      </c>
      <c r="C186" s="2" t="s">
        <v>8</v>
      </c>
      <c r="D186" s="20">
        <v>34.564999999999998</v>
      </c>
      <c r="E186" s="2" t="s">
        <v>31</v>
      </c>
    </row>
    <row r="187" spans="1:5" x14ac:dyDescent="0.3">
      <c r="A187" s="19">
        <v>45809</v>
      </c>
      <c r="B187" s="2" t="s">
        <v>10</v>
      </c>
      <c r="C187" s="2" t="s">
        <v>9</v>
      </c>
      <c r="D187" s="20">
        <v>6.5190000000000001</v>
      </c>
      <c r="E187" s="2" t="s">
        <v>31</v>
      </c>
    </row>
    <row r="188" spans="1:5" x14ac:dyDescent="0.3">
      <c r="A188" s="19">
        <v>45809</v>
      </c>
      <c r="B188" s="2" t="s">
        <v>11</v>
      </c>
      <c r="C188" s="2" t="s">
        <v>6</v>
      </c>
      <c r="D188" s="20">
        <v>23.861000000000001</v>
      </c>
      <c r="E188" s="2" t="s">
        <v>31</v>
      </c>
    </row>
    <row r="189" spans="1:5" x14ac:dyDescent="0.3">
      <c r="A189" s="19">
        <v>45809</v>
      </c>
      <c r="B189" s="2" t="s">
        <v>11</v>
      </c>
      <c r="C189" s="2" t="s">
        <v>8</v>
      </c>
      <c r="D189" s="20">
        <v>4.3109999999999999</v>
      </c>
      <c r="E189" s="2" t="s">
        <v>31</v>
      </c>
    </row>
    <row r="190" spans="1:5" x14ac:dyDescent="0.3">
      <c r="A190" s="19">
        <v>45809</v>
      </c>
      <c r="B190" s="2" t="s">
        <v>11</v>
      </c>
      <c r="C190" s="2" t="s">
        <v>9</v>
      </c>
      <c r="D190" s="20">
        <v>2.1619999999999999</v>
      </c>
      <c r="E190" s="2" t="s">
        <v>31</v>
      </c>
    </row>
    <row r="191" spans="1:5" x14ac:dyDescent="0.3">
      <c r="A191" s="19">
        <v>45839</v>
      </c>
      <c r="B191" s="2" t="s">
        <v>5</v>
      </c>
      <c r="C191" s="2" t="s">
        <v>6</v>
      </c>
      <c r="D191" s="20">
        <v>234.87</v>
      </c>
      <c r="E191" s="2" t="s">
        <v>32</v>
      </c>
    </row>
    <row r="192" spans="1:5" x14ac:dyDescent="0.3">
      <c r="A192" s="19">
        <v>45839</v>
      </c>
      <c r="B192" s="2" t="s">
        <v>5</v>
      </c>
      <c r="C192" s="2" t="s">
        <v>8</v>
      </c>
      <c r="D192" s="20">
        <v>30.306000000000001</v>
      </c>
      <c r="E192" s="2" t="s">
        <v>32</v>
      </c>
    </row>
    <row r="193" spans="1:5" x14ac:dyDescent="0.3">
      <c r="A193" s="19">
        <v>45839</v>
      </c>
      <c r="B193" s="2" t="s">
        <v>5</v>
      </c>
      <c r="C193" s="2" t="s">
        <v>9</v>
      </c>
      <c r="D193" s="20">
        <v>103.613</v>
      </c>
      <c r="E193" s="2" t="s">
        <v>32</v>
      </c>
    </row>
    <row r="194" spans="1:5" x14ac:dyDescent="0.3">
      <c r="A194" s="19">
        <v>45839</v>
      </c>
      <c r="B194" s="2" t="s">
        <v>10</v>
      </c>
      <c r="C194" s="2" t="s">
        <v>6</v>
      </c>
      <c r="D194" s="20">
        <v>19.66</v>
      </c>
      <c r="E194" s="2" t="s">
        <v>32</v>
      </c>
    </row>
    <row r="195" spans="1:5" x14ac:dyDescent="0.3">
      <c r="A195" s="19">
        <v>45839</v>
      </c>
      <c r="B195" s="2" t="s">
        <v>10</v>
      </c>
      <c r="C195" s="2" t="s">
        <v>8</v>
      </c>
      <c r="D195" s="20">
        <v>34.948</v>
      </c>
      <c r="E195" s="2" t="s">
        <v>32</v>
      </c>
    </row>
    <row r="196" spans="1:5" x14ac:dyDescent="0.3">
      <c r="A196" s="19">
        <v>45839</v>
      </c>
      <c r="B196" s="2" t="s">
        <v>10</v>
      </c>
      <c r="C196" s="2" t="s">
        <v>9</v>
      </c>
      <c r="D196" s="20">
        <v>6.4820000000000002</v>
      </c>
      <c r="E196" s="2" t="s">
        <v>32</v>
      </c>
    </row>
    <row r="197" spans="1:5" x14ac:dyDescent="0.3">
      <c r="A197" s="19">
        <v>45839</v>
      </c>
      <c r="B197" s="2" t="s">
        <v>11</v>
      </c>
      <c r="C197" s="2" t="s">
        <v>6</v>
      </c>
      <c r="D197" s="20">
        <v>24.094000000000001</v>
      </c>
      <c r="E197" s="2" t="s">
        <v>32</v>
      </c>
    </row>
    <row r="198" spans="1:5" x14ac:dyDescent="0.3">
      <c r="A198" s="19">
        <v>45839</v>
      </c>
      <c r="B198" s="2" t="s">
        <v>11</v>
      </c>
      <c r="C198" s="2" t="s">
        <v>8</v>
      </c>
      <c r="D198" s="20">
        <v>4.3419999999999996</v>
      </c>
      <c r="E198" s="2" t="s">
        <v>32</v>
      </c>
    </row>
    <row r="199" spans="1:5" x14ac:dyDescent="0.3">
      <c r="A199" s="19">
        <v>45839</v>
      </c>
      <c r="B199" s="2" t="s">
        <v>11</v>
      </c>
      <c r="C199" s="2" t="s">
        <v>9</v>
      </c>
      <c r="D199" s="20">
        <v>2.1880000000000002</v>
      </c>
      <c r="E199" s="2" t="s">
        <v>32</v>
      </c>
    </row>
    <row r="200" spans="1:5" x14ac:dyDescent="0.3">
      <c r="A200" s="19">
        <v>45870</v>
      </c>
      <c r="B200" s="2" t="s">
        <v>5</v>
      </c>
      <c r="C200" s="2" t="s">
        <v>6</v>
      </c>
      <c r="D200" s="20">
        <v>235.65899999999999</v>
      </c>
      <c r="E200" s="2" t="s">
        <v>33</v>
      </c>
    </row>
    <row r="201" spans="1:5" x14ac:dyDescent="0.3">
      <c r="A201" s="19">
        <v>45870</v>
      </c>
      <c r="B201" s="2" t="s">
        <v>5</v>
      </c>
      <c r="C201" s="2" t="s">
        <v>8</v>
      </c>
      <c r="D201" s="20">
        <v>30.521000000000001</v>
      </c>
      <c r="E201" s="2" t="s">
        <v>33</v>
      </c>
    </row>
    <row r="202" spans="1:5" x14ac:dyDescent="0.3">
      <c r="A202" s="19">
        <v>45870</v>
      </c>
      <c r="B202" s="2" t="s">
        <v>5</v>
      </c>
      <c r="C202" s="2" t="s">
        <v>9</v>
      </c>
      <c r="D202" s="20">
        <v>103.911</v>
      </c>
      <c r="E202" s="2" t="s">
        <v>33</v>
      </c>
    </row>
    <row r="203" spans="1:5" x14ac:dyDescent="0.3">
      <c r="A203" s="19">
        <v>45870</v>
      </c>
      <c r="B203" s="2" t="s">
        <v>10</v>
      </c>
      <c r="C203" s="2" t="s">
        <v>6</v>
      </c>
      <c r="D203" s="20">
        <v>19.675000000000001</v>
      </c>
      <c r="E203" s="2" t="s">
        <v>33</v>
      </c>
    </row>
    <row r="204" spans="1:5" x14ac:dyDescent="0.3">
      <c r="A204" s="19">
        <v>45870</v>
      </c>
      <c r="B204" s="2" t="s">
        <v>10</v>
      </c>
      <c r="C204" s="2" t="s">
        <v>8</v>
      </c>
      <c r="D204" s="20">
        <v>34.798000000000002</v>
      </c>
      <c r="E204" s="2" t="s">
        <v>33</v>
      </c>
    </row>
    <row r="205" spans="1:5" x14ac:dyDescent="0.3">
      <c r="A205" s="19">
        <v>45870</v>
      </c>
      <c r="B205" s="2" t="s">
        <v>10</v>
      </c>
      <c r="C205" s="2" t="s">
        <v>9</v>
      </c>
      <c r="D205" s="20">
        <v>6.5650000000000004</v>
      </c>
      <c r="E205" s="2" t="s">
        <v>33</v>
      </c>
    </row>
    <row r="206" spans="1:5" x14ac:dyDescent="0.3">
      <c r="A206" s="19">
        <v>45870</v>
      </c>
      <c r="B206" s="2" t="s">
        <v>11</v>
      </c>
      <c r="C206" s="2" t="s">
        <v>6</v>
      </c>
      <c r="D206" s="20">
        <v>24.14</v>
      </c>
      <c r="E206" s="2" t="s">
        <v>33</v>
      </c>
    </row>
    <row r="207" spans="1:5" x14ac:dyDescent="0.3">
      <c r="A207" s="19">
        <v>45870</v>
      </c>
      <c r="B207" s="2" t="s">
        <v>11</v>
      </c>
      <c r="C207" s="2" t="s">
        <v>8</v>
      </c>
      <c r="D207" s="20">
        <v>4.3559999999999999</v>
      </c>
      <c r="E207" s="2" t="s">
        <v>33</v>
      </c>
    </row>
    <row r="208" spans="1:5" x14ac:dyDescent="0.3">
      <c r="A208" s="19">
        <v>45870</v>
      </c>
      <c r="B208" s="2" t="s">
        <v>11</v>
      </c>
      <c r="C208" s="2" t="s">
        <v>9</v>
      </c>
      <c r="D208" s="20">
        <v>2.1800000000000002</v>
      </c>
      <c r="E208" s="2" t="s">
        <v>33</v>
      </c>
    </row>
    <row r="209" spans="1:5" x14ac:dyDescent="0.3">
      <c r="A209" s="19">
        <v>45901</v>
      </c>
      <c r="B209" s="2" t="s">
        <v>5</v>
      </c>
      <c r="C209" s="2" t="s">
        <v>6</v>
      </c>
      <c r="D209" s="20">
        <v>237.262</v>
      </c>
      <c r="E209" s="2" t="s">
        <v>34</v>
      </c>
    </row>
    <row r="210" spans="1:5" x14ac:dyDescent="0.3">
      <c r="A210" s="19">
        <v>45901</v>
      </c>
      <c r="B210" s="2" t="s">
        <v>5</v>
      </c>
      <c r="C210" s="2" t="s">
        <v>8</v>
      </c>
      <c r="D210" s="20">
        <v>30.498000000000001</v>
      </c>
      <c r="E210" s="2" t="s">
        <v>34</v>
      </c>
    </row>
    <row r="211" spans="1:5" x14ac:dyDescent="0.3">
      <c r="A211" s="19">
        <v>45901</v>
      </c>
      <c r="B211" s="2" t="s">
        <v>5</v>
      </c>
      <c r="C211" s="2" t="s">
        <v>9</v>
      </c>
      <c r="D211" s="20">
        <v>103.786</v>
      </c>
      <c r="E211" s="2" t="s">
        <v>34</v>
      </c>
    </row>
    <row r="212" spans="1:5" x14ac:dyDescent="0.3">
      <c r="A212" s="19">
        <v>45901</v>
      </c>
      <c r="B212" s="2" t="s">
        <v>10</v>
      </c>
      <c r="C212" s="2" t="s">
        <v>6</v>
      </c>
      <c r="D212" s="20">
        <v>19.684000000000001</v>
      </c>
      <c r="E212" s="2" t="s">
        <v>34</v>
      </c>
    </row>
    <row r="213" spans="1:5" x14ac:dyDescent="0.3">
      <c r="A213" s="19">
        <v>45901</v>
      </c>
      <c r="B213" s="2" t="s">
        <v>10</v>
      </c>
      <c r="C213" s="2" t="s">
        <v>8</v>
      </c>
      <c r="D213" s="20">
        <v>31.059000000000001</v>
      </c>
      <c r="E213" s="2" t="s">
        <v>34</v>
      </c>
    </row>
    <row r="214" spans="1:5" x14ac:dyDescent="0.3">
      <c r="A214" s="19">
        <v>45901</v>
      </c>
      <c r="B214" s="2" t="s">
        <v>10</v>
      </c>
      <c r="C214" s="2" t="s">
        <v>9</v>
      </c>
      <c r="D214" s="20">
        <v>6.5979999999999999</v>
      </c>
      <c r="E214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A714-3CA9-4208-88DC-27B61F3194A0}">
  <sheetPr>
    <tabColor rgb="FFA6A6A6"/>
  </sheetPr>
  <dimension ref="A1:G577"/>
  <sheetViews>
    <sheetView workbookViewId="0">
      <pane ySplit="1" topLeftCell="A73" activePane="bottomLeft" state="frozen"/>
      <selection pane="bottomLeft"/>
    </sheetView>
  </sheetViews>
  <sheetFormatPr defaultRowHeight="14.4" x14ac:dyDescent="0.3"/>
  <cols>
    <col min="1" max="1" width="15.77734375" customWidth="1"/>
    <col min="2" max="2" width="24.109375" customWidth="1"/>
    <col min="3" max="3" width="16.6640625" customWidth="1"/>
    <col min="4" max="4" width="32.44140625" customWidth="1"/>
    <col min="5" max="5" width="13.88671875" customWidth="1"/>
    <col min="6" max="6" width="26.88671875" customWidth="1"/>
    <col min="7" max="7" width="28.6640625" customWidth="1"/>
  </cols>
  <sheetData>
    <row r="1" spans="1:7" x14ac:dyDescent="0.3">
      <c r="A1" s="4" t="s">
        <v>0</v>
      </c>
      <c r="B1" s="4" t="s">
        <v>1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4</v>
      </c>
    </row>
    <row r="2" spans="1:7" x14ac:dyDescent="0.3">
      <c r="A2" s="19">
        <v>45200</v>
      </c>
      <c r="B2" s="2" t="s">
        <v>5</v>
      </c>
      <c r="C2" s="2">
        <v>4000</v>
      </c>
      <c r="D2" s="2" t="s">
        <v>39</v>
      </c>
      <c r="E2" s="2" t="s">
        <v>40</v>
      </c>
      <c r="F2" s="21">
        <v>97.956999999999994</v>
      </c>
      <c r="G2" s="2" t="s">
        <v>41</v>
      </c>
    </row>
    <row r="3" spans="1:7" x14ac:dyDescent="0.3">
      <c r="A3" s="19">
        <v>45200</v>
      </c>
      <c r="B3" s="2" t="s">
        <v>5</v>
      </c>
      <c r="C3" s="2">
        <v>4100</v>
      </c>
      <c r="D3" s="2" t="s">
        <v>42</v>
      </c>
      <c r="E3" s="2" t="s">
        <v>40</v>
      </c>
      <c r="F3" s="21">
        <v>12.403</v>
      </c>
      <c r="G3" s="2" t="s">
        <v>41</v>
      </c>
    </row>
    <row r="4" spans="1:7" x14ac:dyDescent="0.3">
      <c r="A4" s="19">
        <v>45200</v>
      </c>
      <c r="B4" s="2" t="s">
        <v>5</v>
      </c>
      <c r="C4" s="2">
        <v>4200</v>
      </c>
      <c r="D4" s="2" t="s">
        <v>43</v>
      </c>
      <c r="E4" s="2" t="s">
        <v>40</v>
      </c>
      <c r="F4" s="21">
        <v>4.8280000000000003</v>
      </c>
      <c r="G4" s="2" t="s">
        <v>41</v>
      </c>
    </row>
    <row r="5" spans="1:7" x14ac:dyDescent="0.3">
      <c r="A5" s="19">
        <v>45200</v>
      </c>
      <c r="B5" s="2" t="s">
        <v>5</v>
      </c>
      <c r="C5" s="2">
        <v>5000</v>
      </c>
      <c r="D5" s="2" t="s">
        <v>44</v>
      </c>
      <c r="E5" s="2" t="s">
        <v>45</v>
      </c>
      <c r="F5" s="21">
        <v>-37.677999999999997</v>
      </c>
      <c r="G5" s="2" t="s">
        <v>41</v>
      </c>
    </row>
    <row r="6" spans="1:7" x14ac:dyDescent="0.3">
      <c r="A6" s="19">
        <v>45200</v>
      </c>
      <c r="B6" s="2" t="s">
        <v>5</v>
      </c>
      <c r="C6" s="2">
        <v>5100</v>
      </c>
      <c r="D6" s="2" t="s">
        <v>46</v>
      </c>
      <c r="E6" s="2" t="s">
        <v>45</v>
      </c>
      <c r="F6" s="21">
        <v>-8.26</v>
      </c>
      <c r="G6" s="2" t="s">
        <v>41</v>
      </c>
    </row>
    <row r="7" spans="1:7" x14ac:dyDescent="0.3">
      <c r="A7" s="19">
        <v>45200</v>
      </c>
      <c r="B7" s="2" t="s">
        <v>5</v>
      </c>
      <c r="C7" s="2">
        <v>5200</v>
      </c>
      <c r="D7" s="2" t="s">
        <v>47</v>
      </c>
      <c r="E7" s="2" t="s">
        <v>45</v>
      </c>
      <c r="F7" s="21">
        <v>-5.827</v>
      </c>
      <c r="G7" s="2" t="s">
        <v>41</v>
      </c>
    </row>
    <row r="8" spans="1:7" x14ac:dyDescent="0.3">
      <c r="A8" s="19">
        <v>45200</v>
      </c>
      <c r="B8" s="2" t="s">
        <v>5</v>
      </c>
      <c r="C8" s="2">
        <v>5300</v>
      </c>
      <c r="D8" s="2" t="s">
        <v>48</v>
      </c>
      <c r="E8" s="2" t="s">
        <v>45</v>
      </c>
      <c r="F8" s="21">
        <v>-2.9689999999999999</v>
      </c>
      <c r="G8" s="2" t="s">
        <v>41</v>
      </c>
    </row>
    <row r="9" spans="1:7" x14ac:dyDescent="0.3">
      <c r="A9" s="19">
        <v>45200</v>
      </c>
      <c r="B9" s="2" t="s">
        <v>5</v>
      </c>
      <c r="C9" s="2">
        <v>5400</v>
      </c>
      <c r="D9" s="2" t="s">
        <v>49</v>
      </c>
      <c r="E9" s="2" t="s">
        <v>45</v>
      </c>
      <c r="F9" s="21">
        <v>-4</v>
      </c>
      <c r="G9" s="2" t="s">
        <v>41</v>
      </c>
    </row>
    <row r="10" spans="1:7" x14ac:dyDescent="0.3">
      <c r="A10" s="19">
        <v>45200</v>
      </c>
      <c r="B10" s="2" t="s">
        <v>10</v>
      </c>
      <c r="C10" s="2">
        <v>4000</v>
      </c>
      <c r="D10" s="2" t="s">
        <v>39</v>
      </c>
      <c r="E10" s="2" t="s">
        <v>40</v>
      </c>
      <c r="F10" s="21">
        <v>18.175000000000001</v>
      </c>
      <c r="G10" s="2" t="s">
        <v>41</v>
      </c>
    </row>
    <row r="11" spans="1:7" x14ac:dyDescent="0.3">
      <c r="A11" s="19">
        <v>45200</v>
      </c>
      <c r="B11" s="2" t="s">
        <v>10</v>
      </c>
      <c r="C11" s="2">
        <v>4100</v>
      </c>
      <c r="D11" s="2" t="s">
        <v>42</v>
      </c>
      <c r="E11" s="2" t="s">
        <v>40</v>
      </c>
      <c r="F11" s="21">
        <v>1.9570000000000001</v>
      </c>
      <c r="G11" s="2" t="s">
        <v>41</v>
      </c>
    </row>
    <row r="12" spans="1:7" x14ac:dyDescent="0.3">
      <c r="A12" s="19">
        <v>45200</v>
      </c>
      <c r="B12" s="2" t="s">
        <v>10</v>
      </c>
      <c r="C12" s="2">
        <v>4200</v>
      </c>
      <c r="D12" s="2" t="s">
        <v>43</v>
      </c>
      <c r="E12" s="2" t="s">
        <v>40</v>
      </c>
      <c r="F12" s="21">
        <v>1.454</v>
      </c>
      <c r="G12" s="2" t="s">
        <v>41</v>
      </c>
    </row>
    <row r="13" spans="1:7" x14ac:dyDescent="0.3">
      <c r="A13" s="19">
        <v>45200</v>
      </c>
      <c r="B13" s="2" t="s">
        <v>10</v>
      </c>
      <c r="C13" s="2">
        <v>5000</v>
      </c>
      <c r="D13" s="2" t="s">
        <v>44</v>
      </c>
      <c r="E13" s="2" t="s">
        <v>45</v>
      </c>
      <c r="F13" s="21">
        <v>-9.3140000000000001</v>
      </c>
      <c r="G13" s="2" t="s">
        <v>41</v>
      </c>
    </row>
    <row r="14" spans="1:7" x14ac:dyDescent="0.3">
      <c r="A14" s="19">
        <v>45200</v>
      </c>
      <c r="B14" s="2" t="s">
        <v>10</v>
      </c>
      <c r="C14" s="2">
        <v>5100</v>
      </c>
      <c r="D14" s="2" t="s">
        <v>46</v>
      </c>
      <c r="E14" s="2" t="s">
        <v>45</v>
      </c>
      <c r="F14" s="21">
        <v>-3.9670000000000001</v>
      </c>
      <c r="G14" s="2" t="s">
        <v>41</v>
      </c>
    </row>
    <row r="15" spans="1:7" x14ac:dyDescent="0.3">
      <c r="A15" s="19">
        <v>45200</v>
      </c>
      <c r="B15" s="2" t="s">
        <v>10</v>
      </c>
      <c r="C15" s="2">
        <v>5200</v>
      </c>
      <c r="D15" s="2" t="s">
        <v>47</v>
      </c>
      <c r="E15" s="2" t="s">
        <v>45</v>
      </c>
      <c r="F15" s="21">
        <v>-2.4369999999999998</v>
      </c>
      <c r="G15" s="2" t="s">
        <v>41</v>
      </c>
    </row>
    <row r="16" spans="1:7" x14ac:dyDescent="0.3">
      <c r="A16" s="19">
        <v>45200</v>
      </c>
      <c r="B16" s="2" t="s">
        <v>10</v>
      </c>
      <c r="C16" s="2">
        <v>5300</v>
      </c>
      <c r="D16" s="2" t="s">
        <v>48</v>
      </c>
      <c r="E16" s="2" t="s">
        <v>45</v>
      </c>
      <c r="F16" s="21">
        <v>-1</v>
      </c>
      <c r="G16" s="2" t="s">
        <v>41</v>
      </c>
    </row>
    <row r="17" spans="1:7" x14ac:dyDescent="0.3">
      <c r="A17" s="19">
        <v>45200</v>
      </c>
      <c r="B17" s="2" t="s">
        <v>10</v>
      </c>
      <c r="C17" s="2">
        <v>5400</v>
      </c>
      <c r="D17" s="2" t="s">
        <v>49</v>
      </c>
      <c r="E17" s="2" t="s">
        <v>45</v>
      </c>
      <c r="F17" s="21">
        <v>-1.179</v>
      </c>
      <c r="G17" s="2" t="s">
        <v>41</v>
      </c>
    </row>
    <row r="18" spans="1:7" x14ac:dyDescent="0.3">
      <c r="A18" s="19">
        <v>45200</v>
      </c>
      <c r="B18" s="2" t="s">
        <v>11</v>
      </c>
      <c r="C18" s="2">
        <v>4000</v>
      </c>
      <c r="D18" s="2" t="s">
        <v>39</v>
      </c>
      <c r="E18" s="2" t="s">
        <v>40</v>
      </c>
      <c r="F18" s="21">
        <v>7.7460000000000004</v>
      </c>
      <c r="G18" s="2" t="s">
        <v>41</v>
      </c>
    </row>
    <row r="19" spans="1:7" x14ac:dyDescent="0.3">
      <c r="A19" s="19">
        <v>45200</v>
      </c>
      <c r="B19" s="2" t="s">
        <v>11</v>
      </c>
      <c r="C19" s="2">
        <v>4100</v>
      </c>
      <c r="D19" s="2" t="s">
        <v>42</v>
      </c>
      <c r="E19" s="2" t="s">
        <v>40</v>
      </c>
      <c r="F19" s="21">
        <v>0.50900000000000001</v>
      </c>
      <c r="G19" s="2" t="s">
        <v>41</v>
      </c>
    </row>
    <row r="20" spans="1:7" x14ac:dyDescent="0.3">
      <c r="A20" s="19">
        <v>45200</v>
      </c>
      <c r="B20" s="2" t="s">
        <v>11</v>
      </c>
      <c r="C20" s="2">
        <v>4200</v>
      </c>
      <c r="D20" s="2" t="s">
        <v>43</v>
      </c>
      <c r="E20" s="2" t="s">
        <v>40</v>
      </c>
      <c r="F20" s="21">
        <v>0.78700000000000003</v>
      </c>
      <c r="G20" s="2" t="s">
        <v>41</v>
      </c>
    </row>
    <row r="21" spans="1:7" x14ac:dyDescent="0.3">
      <c r="A21" s="19">
        <v>45200</v>
      </c>
      <c r="B21" s="2" t="s">
        <v>11</v>
      </c>
      <c r="C21" s="2">
        <v>5000</v>
      </c>
      <c r="D21" s="2" t="s">
        <v>44</v>
      </c>
      <c r="E21" s="2" t="s">
        <v>45</v>
      </c>
      <c r="F21" s="21">
        <v>-3.444</v>
      </c>
      <c r="G21" s="2" t="s">
        <v>41</v>
      </c>
    </row>
    <row r="22" spans="1:7" x14ac:dyDescent="0.3">
      <c r="A22" s="19">
        <v>45200</v>
      </c>
      <c r="B22" s="2" t="s">
        <v>11</v>
      </c>
      <c r="C22" s="2">
        <v>5100</v>
      </c>
      <c r="D22" s="2" t="s">
        <v>46</v>
      </c>
      <c r="E22" s="2" t="s">
        <v>45</v>
      </c>
      <c r="F22" s="21">
        <v>-1.155</v>
      </c>
      <c r="G22" s="2" t="s">
        <v>41</v>
      </c>
    </row>
    <row r="23" spans="1:7" x14ac:dyDescent="0.3">
      <c r="A23" s="19">
        <v>45200</v>
      </c>
      <c r="B23" s="2" t="s">
        <v>11</v>
      </c>
      <c r="C23" s="2">
        <v>5200</v>
      </c>
      <c r="D23" s="2" t="s">
        <v>47</v>
      </c>
      <c r="E23" s="2" t="s">
        <v>45</v>
      </c>
      <c r="F23" s="21">
        <v>-1.03</v>
      </c>
      <c r="G23" s="2" t="s">
        <v>41</v>
      </c>
    </row>
    <row r="24" spans="1:7" x14ac:dyDescent="0.3">
      <c r="A24" s="19">
        <v>45200</v>
      </c>
      <c r="B24" s="2" t="s">
        <v>11</v>
      </c>
      <c r="C24" s="2">
        <v>5300</v>
      </c>
      <c r="D24" s="2" t="s">
        <v>48</v>
      </c>
      <c r="E24" s="2" t="s">
        <v>45</v>
      </c>
      <c r="F24" s="21">
        <v>-0.58499999999999996</v>
      </c>
      <c r="G24" s="2" t="s">
        <v>41</v>
      </c>
    </row>
    <row r="25" spans="1:7" x14ac:dyDescent="0.3">
      <c r="A25" s="19">
        <v>45200</v>
      </c>
      <c r="B25" s="2" t="s">
        <v>11</v>
      </c>
      <c r="C25" s="2">
        <v>5400</v>
      </c>
      <c r="D25" s="2" t="s">
        <v>49</v>
      </c>
      <c r="E25" s="2" t="s">
        <v>45</v>
      </c>
      <c r="F25" s="21">
        <v>-0.71899999999999997</v>
      </c>
      <c r="G25" s="2" t="s">
        <v>41</v>
      </c>
    </row>
    <row r="26" spans="1:7" x14ac:dyDescent="0.3">
      <c r="A26" s="19">
        <v>45231</v>
      </c>
      <c r="B26" s="2" t="s">
        <v>5</v>
      </c>
      <c r="C26" s="2">
        <v>4000</v>
      </c>
      <c r="D26" s="2" t="s">
        <v>39</v>
      </c>
      <c r="E26" s="2" t="s">
        <v>40</v>
      </c>
      <c r="F26" s="21">
        <v>94.680999999999997</v>
      </c>
      <c r="G26" s="2" t="s">
        <v>50</v>
      </c>
    </row>
    <row r="27" spans="1:7" x14ac:dyDescent="0.3">
      <c r="A27" s="19">
        <v>45231</v>
      </c>
      <c r="B27" s="2" t="s">
        <v>5</v>
      </c>
      <c r="C27" s="2">
        <v>4100</v>
      </c>
      <c r="D27" s="2" t="s">
        <v>42</v>
      </c>
      <c r="E27" s="2" t="s">
        <v>40</v>
      </c>
      <c r="F27" s="21">
        <v>11.734</v>
      </c>
      <c r="G27" s="2" t="s">
        <v>50</v>
      </c>
    </row>
    <row r="28" spans="1:7" x14ac:dyDescent="0.3">
      <c r="A28" s="19">
        <v>45231</v>
      </c>
      <c r="B28" s="2" t="s">
        <v>5</v>
      </c>
      <c r="C28" s="2">
        <v>4200</v>
      </c>
      <c r="D28" s="2" t="s">
        <v>43</v>
      </c>
      <c r="E28" s="2" t="s">
        <v>40</v>
      </c>
      <c r="F28" s="21">
        <v>5.0359999999999996</v>
      </c>
      <c r="G28" s="2" t="s">
        <v>50</v>
      </c>
    </row>
    <row r="29" spans="1:7" x14ac:dyDescent="0.3">
      <c r="A29" s="19">
        <v>45231</v>
      </c>
      <c r="B29" s="2" t="s">
        <v>5</v>
      </c>
      <c r="C29" s="2">
        <v>5000</v>
      </c>
      <c r="D29" s="2" t="s">
        <v>44</v>
      </c>
      <c r="E29" s="2" t="s">
        <v>45</v>
      </c>
      <c r="F29" s="21">
        <v>-37.661999999999999</v>
      </c>
      <c r="G29" s="2" t="s">
        <v>50</v>
      </c>
    </row>
    <row r="30" spans="1:7" x14ac:dyDescent="0.3">
      <c r="A30" s="19">
        <v>45231</v>
      </c>
      <c r="B30" s="2" t="s">
        <v>5</v>
      </c>
      <c r="C30" s="2">
        <v>5100</v>
      </c>
      <c r="D30" s="2" t="s">
        <v>46</v>
      </c>
      <c r="E30" s="2" t="s">
        <v>45</v>
      </c>
      <c r="F30" s="21">
        <v>-8.1579999999999995</v>
      </c>
      <c r="G30" s="2" t="s">
        <v>50</v>
      </c>
    </row>
    <row r="31" spans="1:7" x14ac:dyDescent="0.3">
      <c r="A31" s="19">
        <v>45231</v>
      </c>
      <c r="B31" s="2" t="s">
        <v>5</v>
      </c>
      <c r="C31" s="2">
        <v>5200</v>
      </c>
      <c r="D31" s="2" t="s">
        <v>47</v>
      </c>
      <c r="E31" s="2" t="s">
        <v>45</v>
      </c>
      <c r="F31" s="21">
        <v>-6.0679999999999996</v>
      </c>
      <c r="G31" s="2" t="s">
        <v>50</v>
      </c>
    </row>
    <row r="32" spans="1:7" x14ac:dyDescent="0.3">
      <c r="A32" s="19">
        <v>45231</v>
      </c>
      <c r="B32" s="2" t="s">
        <v>5</v>
      </c>
      <c r="C32" s="2">
        <v>5300</v>
      </c>
      <c r="D32" s="2" t="s">
        <v>48</v>
      </c>
      <c r="E32" s="2" t="s">
        <v>45</v>
      </c>
      <c r="F32" s="21">
        <v>-2.9089999999999998</v>
      </c>
      <c r="G32" s="2" t="s">
        <v>50</v>
      </c>
    </row>
    <row r="33" spans="1:7" x14ac:dyDescent="0.3">
      <c r="A33" s="19">
        <v>45231</v>
      </c>
      <c r="B33" s="2" t="s">
        <v>5</v>
      </c>
      <c r="C33" s="2">
        <v>5400</v>
      </c>
      <c r="D33" s="2" t="s">
        <v>49</v>
      </c>
      <c r="E33" s="2" t="s">
        <v>45</v>
      </c>
      <c r="F33" s="21">
        <v>-3.907</v>
      </c>
      <c r="G33" s="2" t="s">
        <v>50</v>
      </c>
    </row>
    <row r="34" spans="1:7" x14ac:dyDescent="0.3">
      <c r="A34" s="19">
        <v>45231</v>
      </c>
      <c r="B34" s="2" t="s">
        <v>10</v>
      </c>
      <c r="C34" s="2">
        <v>4000</v>
      </c>
      <c r="D34" s="2" t="s">
        <v>39</v>
      </c>
      <c r="E34" s="2" t="s">
        <v>40</v>
      </c>
      <c r="F34" s="21">
        <v>17.91</v>
      </c>
      <c r="G34" s="2" t="s">
        <v>50</v>
      </c>
    </row>
    <row r="35" spans="1:7" x14ac:dyDescent="0.3">
      <c r="A35" s="19">
        <v>45231</v>
      </c>
      <c r="B35" s="2" t="s">
        <v>10</v>
      </c>
      <c r="C35" s="2">
        <v>4100</v>
      </c>
      <c r="D35" s="2" t="s">
        <v>42</v>
      </c>
      <c r="E35" s="2" t="s">
        <v>40</v>
      </c>
      <c r="F35" s="21">
        <v>1.9319999999999999</v>
      </c>
      <c r="G35" s="2" t="s">
        <v>50</v>
      </c>
    </row>
    <row r="36" spans="1:7" x14ac:dyDescent="0.3">
      <c r="A36" s="19">
        <v>45231</v>
      </c>
      <c r="B36" s="2" t="s">
        <v>10</v>
      </c>
      <c r="C36" s="2">
        <v>4200</v>
      </c>
      <c r="D36" s="2" t="s">
        <v>43</v>
      </c>
      <c r="E36" s="2" t="s">
        <v>40</v>
      </c>
      <c r="F36" s="21">
        <v>1.5640000000000001</v>
      </c>
      <c r="G36" s="2" t="s">
        <v>50</v>
      </c>
    </row>
    <row r="37" spans="1:7" x14ac:dyDescent="0.3">
      <c r="A37" s="19">
        <v>45231</v>
      </c>
      <c r="B37" s="2" t="s">
        <v>10</v>
      </c>
      <c r="C37" s="2">
        <v>5000</v>
      </c>
      <c r="D37" s="2" t="s">
        <v>44</v>
      </c>
      <c r="E37" s="2" t="s">
        <v>45</v>
      </c>
      <c r="F37" s="21">
        <v>-8.9280000000000008</v>
      </c>
      <c r="G37" s="2" t="s">
        <v>50</v>
      </c>
    </row>
    <row r="38" spans="1:7" x14ac:dyDescent="0.3">
      <c r="A38" s="19">
        <v>45231</v>
      </c>
      <c r="B38" s="2" t="s">
        <v>10</v>
      </c>
      <c r="C38" s="2">
        <v>5100</v>
      </c>
      <c r="D38" s="2" t="s">
        <v>46</v>
      </c>
      <c r="E38" s="2" t="s">
        <v>45</v>
      </c>
      <c r="F38" s="21">
        <v>-4.0540000000000003</v>
      </c>
      <c r="G38" s="2" t="s">
        <v>50</v>
      </c>
    </row>
    <row r="39" spans="1:7" x14ac:dyDescent="0.3">
      <c r="A39" s="19">
        <v>45231</v>
      </c>
      <c r="B39" s="2" t="s">
        <v>10</v>
      </c>
      <c r="C39" s="2">
        <v>5200</v>
      </c>
      <c r="D39" s="2" t="s">
        <v>47</v>
      </c>
      <c r="E39" s="2" t="s">
        <v>45</v>
      </c>
      <c r="F39" s="21">
        <v>-2.5270000000000001</v>
      </c>
      <c r="G39" s="2" t="s">
        <v>50</v>
      </c>
    </row>
    <row r="40" spans="1:7" x14ac:dyDescent="0.3">
      <c r="A40" s="19">
        <v>45231</v>
      </c>
      <c r="B40" s="2" t="s">
        <v>10</v>
      </c>
      <c r="C40" s="2">
        <v>5300</v>
      </c>
      <c r="D40" s="2" t="s">
        <v>48</v>
      </c>
      <c r="E40" s="2" t="s">
        <v>45</v>
      </c>
      <c r="F40" s="21">
        <v>-1.036</v>
      </c>
      <c r="G40" s="2" t="s">
        <v>50</v>
      </c>
    </row>
    <row r="41" spans="1:7" x14ac:dyDescent="0.3">
      <c r="A41" s="19">
        <v>45231</v>
      </c>
      <c r="B41" s="2" t="s">
        <v>10</v>
      </c>
      <c r="C41" s="2">
        <v>5400</v>
      </c>
      <c r="D41" s="2" t="s">
        <v>49</v>
      </c>
      <c r="E41" s="2" t="s">
        <v>45</v>
      </c>
      <c r="F41" s="21">
        <v>-1.1819999999999999</v>
      </c>
      <c r="G41" s="2" t="s">
        <v>50</v>
      </c>
    </row>
    <row r="42" spans="1:7" x14ac:dyDescent="0.3">
      <c r="A42" s="19">
        <v>45231</v>
      </c>
      <c r="B42" s="2" t="s">
        <v>11</v>
      </c>
      <c r="C42" s="2">
        <v>4000</v>
      </c>
      <c r="D42" s="2" t="s">
        <v>39</v>
      </c>
      <c r="E42" s="2" t="s">
        <v>40</v>
      </c>
      <c r="F42" s="21">
        <v>7.952</v>
      </c>
      <c r="G42" s="2" t="s">
        <v>50</v>
      </c>
    </row>
    <row r="43" spans="1:7" x14ac:dyDescent="0.3">
      <c r="A43" s="19">
        <v>45231</v>
      </c>
      <c r="B43" s="2" t="s">
        <v>11</v>
      </c>
      <c r="C43" s="2">
        <v>4100</v>
      </c>
      <c r="D43" s="2" t="s">
        <v>42</v>
      </c>
      <c r="E43" s="2" t="s">
        <v>40</v>
      </c>
      <c r="F43" s="21">
        <v>0.499</v>
      </c>
      <c r="G43" s="2" t="s">
        <v>50</v>
      </c>
    </row>
    <row r="44" spans="1:7" x14ac:dyDescent="0.3">
      <c r="A44" s="19">
        <v>45231</v>
      </c>
      <c r="B44" s="2" t="s">
        <v>11</v>
      </c>
      <c r="C44" s="2">
        <v>4200</v>
      </c>
      <c r="D44" s="2" t="s">
        <v>43</v>
      </c>
      <c r="E44" s="2" t="s">
        <v>40</v>
      </c>
      <c r="F44" s="21">
        <v>0.79500000000000004</v>
      </c>
      <c r="G44" s="2" t="s">
        <v>50</v>
      </c>
    </row>
    <row r="45" spans="1:7" x14ac:dyDescent="0.3">
      <c r="A45" s="19">
        <v>45231</v>
      </c>
      <c r="B45" s="2" t="s">
        <v>11</v>
      </c>
      <c r="C45" s="2">
        <v>5000</v>
      </c>
      <c r="D45" s="2" t="s">
        <v>44</v>
      </c>
      <c r="E45" s="2" t="s">
        <v>45</v>
      </c>
      <c r="F45" s="21">
        <v>-3.5920000000000001</v>
      </c>
      <c r="G45" s="2" t="s">
        <v>50</v>
      </c>
    </row>
    <row r="46" spans="1:7" x14ac:dyDescent="0.3">
      <c r="A46" s="19">
        <v>45231</v>
      </c>
      <c r="B46" s="2" t="s">
        <v>11</v>
      </c>
      <c r="C46" s="2">
        <v>5100</v>
      </c>
      <c r="D46" s="2" t="s">
        <v>46</v>
      </c>
      <c r="E46" s="2" t="s">
        <v>45</v>
      </c>
      <c r="F46" s="21">
        <v>-1.194</v>
      </c>
      <c r="G46" s="2" t="s">
        <v>50</v>
      </c>
    </row>
    <row r="47" spans="1:7" x14ac:dyDescent="0.3">
      <c r="A47" s="19">
        <v>45231</v>
      </c>
      <c r="B47" s="2" t="s">
        <v>11</v>
      </c>
      <c r="C47" s="2">
        <v>5200</v>
      </c>
      <c r="D47" s="2" t="s">
        <v>47</v>
      </c>
      <c r="E47" s="2" t="s">
        <v>45</v>
      </c>
      <c r="F47" s="21">
        <v>-0.99399999999999999</v>
      </c>
      <c r="G47" s="2" t="s">
        <v>50</v>
      </c>
    </row>
    <row r="48" spans="1:7" x14ac:dyDescent="0.3">
      <c r="A48" s="19">
        <v>45231</v>
      </c>
      <c r="B48" s="2" t="s">
        <v>11</v>
      </c>
      <c r="C48" s="2">
        <v>5300</v>
      </c>
      <c r="D48" s="2" t="s">
        <v>48</v>
      </c>
      <c r="E48" s="2" t="s">
        <v>45</v>
      </c>
      <c r="F48" s="21">
        <v>-0.58799999999999997</v>
      </c>
      <c r="G48" s="2" t="s">
        <v>50</v>
      </c>
    </row>
    <row r="49" spans="1:7" x14ac:dyDescent="0.3">
      <c r="A49" s="19">
        <v>45231</v>
      </c>
      <c r="B49" s="2" t="s">
        <v>11</v>
      </c>
      <c r="C49" s="2">
        <v>5400</v>
      </c>
      <c r="D49" s="2" t="s">
        <v>49</v>
      </c>
      <c r="E49" s="2" t="s">
        <v>45</v>
      </c>
      <c r="F49" s="21">
        <v>-0.68500000000000005</v>
      </c>
      <c r="G49" s="2" t="s">
        <v>50</v>
      </c>
    </row>
    <row r="50" spans="1:7" x14ac:dyDescent="0.3">
      <c r="A50" s="19">
        <v>45261</v>
      </c>
      <c r="B50" s="2" t="s">
        <v>5</v>
      </c>
      <c r="C50" s="2">
        <v>4000</v>
      </c>
      <c r="D50" s="2" t="s">
        <v>39</v>
      </c>
      <c r="E50" s="2" t="s">
        <v>40</v>
      </c>
      <c r="F50" s="21">
        <v>97.046999999999997</v>
      </c>
      <c r="G50" s="2" t="s">
        <v>51</v>
      </c>
    </row>
    <row r="51" spans="1:7" x14ac:dyDescent="0.3">
      <c r="A51" s="19">
        <v>45261</v>
      </c>
      <c r="B51" s="2" t="s">
        <v>5</v>
      </c>
      <c r="C51" s="2">
        <v>4100</v>
      </c>
      <c r="D51" s="2" t="s">
        <v>42</v>
      </c>
      <c r="E51" s="2" t="s">
        <v>40</v>
      </c>
      <c r="F51" s="21">
        <v>11.667999999999999</v>
      </c>
      <c r="G51" s="2" t="s">
        <v>51</v>
      </c>
    </row>
    <row r="52" spans="1:7" x14ac:dyDescent="0.3">
      <c r="A52" s="19">
        <v>45261</v>
      </c>
      <c r="B52" s="2" t="s">
        <v>5</v>
      </c>
      <c r="C52" s="2">
        <v>4200</v>
      </c>
      <c r="D52" s="2" t="s">
        <v>43</v>
      </c>
      <c r="E52" s="2" t="s">
        <v>40</v>
      </c>
      <c r="F52" s="21">
        <v>4.9180000000000001</v>
      </c>
      <c r="G52" s="2" t="s">
        <v>51</v>
      </c>
    </row>
    <row r="53" spans="1:7" x14ac:dyDescent="0.3">
      <c r="A53" s="19">
        <v>45261</v>
      </c>
      <c r="B53" s="2" t="s">
        <v>5</v>
      </c>
      <c r="C53" s="2">
        <v>5000</v>
      </c>
      <c r="D53" s="2" t="s">
        <v>44</v>
      </c>
      <c r="E53" s="2" t="s">
        <v>45</v>
      </c>
      <c r="F53" s="21">
        <v>-38.890999999999998</v>
      </c>
      <c r="G53" s="2" t="s">
        <v>51</v>
      </c>
    </row>
    <row r="54" spans="1:7" x14ac:dyDescent="0.3">
      <c r="A54" s="19">
        <v>45261</v>
      </c>
      <c r="B54" s="2" t="s">
        <v>5</v>
      </c>
      <c r="C54" s="2">
        <v>5100</v>
      </c>
      <c r="D54" s="2" t="s">
        <v>46</v>
      </c>
      <c r="E54" s="2" t="s">
        <v>45</v>
      </c>
      <c r="F54" s="21">
        <v>-8.2469999999999999</v>
      </c>
      <c r="G54" s="2" t="s">
        <v>51</v>
      </c>
    </row>
    <row r="55" spans="1:7" x14ac:dyDescent="0.3">
      <c r="A55" s="19">
        <v>45261</v>
      </c>
      <c r="B55" s="2" t="s">
        <v>5</v>
      </c>
      <c r="C55" s="2">
        <v>5200</v>
      </c>
      <c r="D55" s="2" t="s">
        <v>47</v>
      </c>
      <c r="E55" s="2" t="s">
        <v>45</v>
      </c>
      <c r="F55" s="21">
        <v>-6.2380000000000004</v>
      </c>
      <c r="G55" s="2" t="s">
        <v>51</v>
      </c>
    </row>
    <row r="56" spans="1:7" x14ac:dyDescent="0.3">
      <c r="A56" s="19">
        <v>45261</v>
      </c>
      <c r="B56" s="2" t="s">
        <v>5</v>
      </c>
      <c r="C56" s="2">
        <v>5300</v>
      </c>
      <c r="D56" s="2" t="s">
        <v>48</v>
      </c>
      <c r="E56" s="2" t="s">
        <v>45</v>
      </c>
      <c r="F56" s="21">
        <v>-3.109</v>
      </c>
      <c r="G56" s="2" t="s">
        <v>51</v>
      </c>
    </row>
    <row r="57" spans="1:7" x14ac:dyDescent="0.3">
      <c r="A57" s="19">
        <v>45261</v>
      </c>
      <c r="B57" s="2" t="s">
        <v>5</v>
      </c>
      <c r="C57" s="2">
        <v>5400</v>
      </c>
      <c r="D57" s="2" t="s">
        <v>49</v>
      </c>
      <c r="E57" s="2" t="s">
        <v>45</v>
      </c>
      <c r="F57" s="21">
        <v>-4.1239999999999997</v>
      </c>
      <c r="G57" s="2" t="s">
        <v>51</v>
      </c>
    </row>
    <row r="58" spans="1:7" x14ac:dyDescent="0.3">
      <c r="A58" s="19">
        <v>45261</v>
      </c>
      <c r="B58" s="2" t="s">
        <v>10</v>
      </c>
      <c r="C58" s="2">
        <v>4000</v>
      </c>
      <c r="D58" s="2" t="s">
        <v>39</v>
      </c>
      <c r="E58" s="2" t="s">
        <v>40</v>
      </c>
      <c r="F58" s="21">
        <v>18.393999999999998</v>
      </c>
      <c r="G58" s="2" t="s">
        <v>51</v>
      </c>
    </row>
    <row r="59" spans="1:7" x14ac:dyDescent="0.3">
      <c r="A59" s="19">
        <v>45261</v>
      </c>
      <c r="B59" s="2" t="s">
        <v>10</v>
      </c>
      <c r="C59" s="2">
        <v>4100</v>
      </c>
      <c r="D59" s="2" t="s">
        <v>42</v>
      </c>
      <c r="E59" s="2" t="s">
        <v>40</v>
      </c>
      <c r="F59" s="21">
        <v>2.0270000000000001</v>
      </c>
      <c r="G59" s="2" t="s">
        <v>51</v>
      </c>
    </row>
    <row r="60" spans="1:7" x14ac:dyDescent="0.3">
      <c r="A60" s="19">
        <v>45261</v>
      </c>
      <c r="B60" s="2" t="s">
        <v>10</v>
      </c>
      <c r="C60" s="2">
        <v>4200</v>
      </c>
      <c r="D60" s="2" t="s">
        <v>43</v>
      </c>
      <c r="E60" s="2" t="s">
        <v>40</v>
      </c>
      <c r="F60" s="21">
        <v>1.51</v>
      </c>
      <c r="G60" s="2" t="s">
        <v>51</v>
      </c>
    </row>
    <row r="61" spans="1:7" x14ac:dyDescent="0.3">
      <c r="A61" s="19">
        <v>45261</v>
      </c>
      <c r="B61" s="2" t="s">
        <v>10</v>
      </c>
      <c r="C61" s="2">
        <v>5000</v>
      </c>
      <c r="D61" s="2" t="s">
        <v>44</v>
      </c>
      <c r="E61" s="2" t="s">
        <v>45</v>
      </c>
      <c r="F61" s="21">
        <v>-9.3970000000000002</v>
      </c>
      <c r="G61" s="2" t="s">
        <v>51</v>
      </c>
    </row>
    <row r="62" spans="1:7" x14ac:dyDescent="0.3">
      <c r="A62" s="19">
        <v>45261</v>
      </c>
      <c r="B62" s="2" t="s">
        <v>10</v>
      </c>
      <c r="C62" s="2">
        <v>5100</v>
      </c>
      <c r="D62" s="2" t="s">
        <v>46</v>
      </c>
      <c r="E62" s="2" t="s">
        <v>45</v>
      </c>
      <c r="F62" s="21">
        <v>-3.9510000000000001</v>
      </c>
      <c r="G62" s="2" t="s">
        <v>51</v>
      </c>
    </row>
    <row r="63" spans="1:7" x14ac:dyDescent="0.3">
      <c r="A63" s="19">
        <v>45261</v>
      </c>
      <c r="B63" s="2" t="s">
        <v>10</v>
      </c>
      <c r="C63" s="2">
        <v>5200</v>
      </c>
      <c r="D63" s="2" t="s">
        <v>47</v>
      </c>
      <c r="E63" s="2" t="s">
        <v>45</v>
      </c>
      <c r="F63" s="21">
        <v>-2.476</v>
      </c>
      <c r="G63" s="2" t="s">
        <v>51</v>
      </c>
    </row>
    <row r="64" spans="1:7" x14ac:dyDescent="0.3">
      <c r="A64" s="19">
        <v>45261</v>
      </c>
      <c r="B64" s="2" t="s">
        <v>10</v>
      </c>
      <c r="C64" s="2">
        <v>5300</v>
      </c>
      <c r="D64" s="2" t="s">
        <v>48</v>
      </c>
      <c r="E64" s="2" t="s">
        <v>45</v>
      </c>
      <c r="F64" s="21">
        <v>-0.97899999999999998</v>
      </c>
      <c r="G64" s="2" t="s">
        <v>51</v>
      </c>
    </row>
    <row r="65" spans="1:7" x14ac:dyDescent="0.3">
      <c r="A65" s="19">
        <v>45261</v>
      </c>
      <c r="B65" s="2" t="s">
        <v>10</v>
      </c>
      <c r="C65" s="2">
        <v>5400</v>
      </c>
      <c r="D65" s="2" t="s">
        <v>49</v>
      </c>
      <c r="E65" s="2" t="s">
        <v>45</v>
      </c>
      <c r="F65" s="21">
        <v>-1.1919999999999999</v>
      </c>
      <c r="G65" s="2" t="s">
        <v>51</v>
      </c>
    </row>
    <row r="66" spans="1:7" x14ac:dyDescent="0.3">
      <c r="A66" s="19">
        <v>45261</v>
      </c>
      <c r="B66" s="2" t="s">
        <v>11</v>
      </c>
      <c r="C66" s="2">
        <v>4000</v>
      </c>
      <c r="D66" s="2" t="s">
        <v>39</v>
      </c>
      <c r="E66" s="2" t="s">
        <v>40</v>
      </c>
      <c r="F66" s="21">
        <v>8.1359999999999992</v>
      </c>
      <c r="G66" s="2" t="s">
        <v>51</v>
      </c>
    </row>
    <row r="67" spans="1:7" x14ac:dyDescent="0.3">
      <c r="A67" s="19">
        <v>45261</v>
      </c>
      <c r="B67" s="2" t="s">
        <v>11</v>
      </c>
      <c r="C67" s="2">
        <v>4100</v>
      </c>
      <c r="D67" s="2" t="s">
        <v>42</v>
      </c>
      <c r="E67" s="2" t="s">
        <v>40</v>
      </c>
      <c r="F67" s="21">
        <v>0.51100000000000001</v>
      </c>
      <c r="G67" s="2" t="s">
        <v>51</v>
      </c>
    </row>
    <row r="68" spans="1:7" x14ac:dyDescent="0.3">
      <c r="A68" s="19">
        <v>45261</v>
      </c>
      <c r="B68" s="2" t="s">
        <v>11</v>
      </c>
      <c r="C68" s="2">
        <v>4200</v>
      </c>
      <c r="D68" s="2" t="s">
        <v>43</v>
      </c>
      <c r="E68" s="2" t="s">
        <v>40</v>
      </c>
      <c r="F68" s="21">
        <v>0.78700000000000003</v>
      </c>
      <c r="G68" s="2" t="s">
        <v>51</v>
      </c>
    </row>
    <row r="69" spans="1:7" x14ac:dyDescent="0.3">
      <c r="A69" s="19">
        <v>45261</v>
      </c>
      <c r="B69" s="2" t="s">
        <v>11</v>
      </c>
      <c r="C69" s="2">
        <v>5000</v>
      </c>
      <c r="D69" s="2" t="s">
        <v>44</v>
      </c>
      <c r="E69" s="2" t="s">
        <v>45</v>
      </c>
      <c r="F69" s="21">
        <v>-3.6360000000000001</v>
      </c>
      <c r="G69" s="2" t="s">
        <v>51</v>
      </c>
    </row>
    <row r="70" spans="1:7" x14ac:dyDescent="0.3">
      <c r="A70" s="19">
        <v>45261</v>
      </c>
      <c r="B70" s="2" t="s">
        <v>11</v>
      </c>
      <c r="C70" s="2">
        <v>5100</v>
      </c>
      <c r="D70" s="2" t="s">
        <v>46</v>
      </c>
      <c r="E70" s="2" t="s">
        <v>45</v>
      </c>
      <c r="F70" s="21">
        <v>-1.2509999999999999</v>
      </c>
      <c r="G70" s="2" t="s">
        <v>51</v>
      </c>
    </row>
    <row r="71" spans="1:7" x14ac:dyDescent="0.3">
      <c r="A71" s="19">
        <v>45261</v>
      </c>
      <c r="B71" s="2" t="s">
        <v>11</v>
      </c>
      <c r="C71" s="2">
        <v>5200</v>
      </c>
      <c r="D71" s="2" t="s">
        <v>47</v>
      </c>
      <c r="E71" s="2" t="s">
        <v>45</v>
      </c>
      <c r="F71" s="21">
        <v>-0.99099999999999999</v>
      </c>
      <c r="G71" s="2" t="s">
        <v>51</v>
      </c>
    </row>
    <row r="72" spans="1:7" x14ac:dyDescent="0.3">
      <c r="A72" s="19">
        <v>45261</v>
      </c>
      <c r="B72" s="2" t="s">
        <v>11</v>
      </c>
      <c r="C72" s="2">
        <v>5300</v>
      </c>
      <c r="D72" s="2" t="s">
        <v>48</v>
      </c>
      <c r="E72" s="2" t="s">
        <v>45</v>
      </c>
      <c r="F72" s="21">
        <v>-0.60499999999999998</v>
      </c>
      <c r="G72" s="2" t="s">
        <v>51</v>
      </c>
    </row>
    <row r="73" spans="1:7" x14ac:dyDescent="0.3">
      <c r="A73" s="19">
        <v>45261</v>
      </c>
      <c r="B73" s="2" t="s">
        <v>11</v>
      </c>
      <c r="C73" s="2">
        <v>5400</v>
      </c>
      <c r="D73" s="2" t="s">
        <v>49</v>
      </c>
      <c r="E73" s="2" t="s">
        <v>45</v>
      </c>
      <c r="F73" s="21">
        <v>-0.69799999999999995</v>
      </c>
      <c r="G73" s="2" t="s">
        <v>51</v>
      </c>
    </row>
    <row r="74" spans="1:7" x14ac:dyDescent="0.3">
      <c r="A74" s="19">
        <v>45292</v>
      </c>
      <c r="B74" s="2" t="s">
        <v>5</v>
      </c>
      <c r="C74" s="2">
        <v>4000</v>
      </c>
      <c r="D74" s="2" t="s">
        <v>39</v>
      </c>
      <c r="E74" s="2" t="s">
        <v>40</v>
      </c>
      <c r="F74" s="21">
        <v>92.325999999999993</v>
      </c>
      <c r="G74" s="2" t="s">
        <v>52</v>
      </c>
    </row>
    <row r="75" spans="1:7" x14ac:dyDescent="0.3">
      <c r="A75" s="19">
        <v>45292</v>
      </c>
      <c r="B75" s="2" t="s">
        <v>5</v>
      </c>
      <c r="C75" s="2">
        <v>4100</v>
      </c>
      <c r="D75" s="2" t="s">
        <v>42</v>
      </c>
      <c r="E75" s="2" t="s">
        <v>40</v>
      </c>
      <c r="F75" s="21">
        <v>12.535</v>
      </c>
      <c r="G75" s="2" t="s">
        <v>52</v>
      </c>
    </row>
    <row r="76" spans="1:7" x14ac:dyDescent="0.3">
      <c r="A76" s="19">
        <v>45292</v>
      </c>
      <c r="B76" s="2" t="s">
        <v>5</v>
      </c>
      <c r="C76" s="2">
        <v>4200</v>
      </c>
      <c r="D76" s="2" t="s">
        <v>43</v>
      </c>
      <c r="E76" s="2" t="s">
        <v>40</v>
      </c>
      <c r="F76" s="21">
        <v>5.0069999999999997</v>
      </c>
      <c r="G76" s="2" t="s">
        <v>52</v>
      </c>
    </row>
    <row r="77" spans="1:7" x14ac:dyDescent="0.3">
      <c r="A77" s="19">
        <v>45292</v>
      </c>
      <c r="B77" s="2" t="s">
        <v>5</v>
      </c>
      <c r="C77" s="2">
        <v>5000</v>
      </c>
      <c r="D77" s="2" t="s">
        <v>44</v>
      </c>
      <c r="E77" s="2" t="s">
        <v>45</v>
      </c>
      <c r="F77" s="21">
        <v>-39.332000000000001</v>
      </c>
      <c r="G77" s="2" t="s">
        <v>52</v>
      </c>
    </row>
    <row r="78" spans="1:7" x14ac:dyDescent="0.3">
      <c r="A78" s="19">
        <v>45292</v>
      </c>
      <c r="B78" s="2" t="s">
        <v>5</v>
      </c>
      <c r="C78" s="2">
        <v>5100</v>
      </c>
      <c r="D78" s="2" t="s">
        <v>46</v>
      </c>
      <c r="E78" s="2" t="s">
        <v>45</v>
      </c>
      <c r="F78" s="21">
        <v>-8.0960000000000001</v>
      </c>
      <c r="G78" s="2" t="s">
        <v>52</v>
      </c>
    </row>
    <row r="79" spans="1:7" x14ac:dyDescent="0.3">
      <c r="A79" s="19">
        <v>45292</v>
      </c>
      <c r="B79" s="2" t="s">
        <v>5</v>
      </c>
      <c r="C79" s="2">
        <v>5200</v>
      </c>
      <c r="D79" s="2" t="s">
        <v>47</v>
      </c>
      <c r="E79" s="2" t="s">
        <v>45</v>
      </c>
      <c r="F79" s="21">
        <v>-6.0149999999999997</v>
      </c>
      <c r="G79" s="2" t="s">
        <v>52</v>
      </c>
    </row>
    <row r="80" spans="1:7" x14ac:dyDescent="0.3">
      <c r="A80" s="19">
        <v>45292</v>
      </c>
      <c r="B80" s="2" t="s">
        <v>5</v>
      </c>
      <c r="C80" s="2">
        <v>5300</v>
      </c>
      <c r="D80" s="2" t="s">
        <v>48</v>
      </c>
      <c r="E80" s="2" t="s">
        <v>45</v>
      </c>
      <c r="F80" s="21">
        <v>-2.9239999999999999</v>
      </c>
      <c r="G80" s="2" t="s">
        <v>52</v>
      </c>
    </row>
    <row r="81" spans="1:7" x14ac:dyDescent="0.3">
      <c r="A81" s="19">
        <v>45292</v>
      </c>
      <c r="B81" s="2" t="s">
        <v>5</v>
      </c>
      <c r="C81" s="2">
        <v>5400</v>
      </c>
      <c r="D81" s="2" t="s">
        <v>49</v>
      </c>
      <c r="E81" s="2" t="s">
        <v>45</v>
      </c>
      <c r="F81" s="21">
        <v>-4.1150000000000002</v>
      </c>
      <c r="G81" s="2" t="s">
        <v>52</v>
      </c>
    </row>
    <row r="82" spans="1:7" x14ac:dyDescent="0.3">
      <c r="A82" s="19">
        <v>45292</v>
      </c>
      <c r="B82" s="2" t="s">
        <v>10</v>
      </c>
      <c r="C82" s="2">
        <v>4000</v>
      </c>
      <c r="D82" s="2" t="s">
        <v>39</v>
      </c>
      <c r="E82" s="2" t="s">
        <v>40</v>
      </c>
      <c r="F82" s="21">
        <v>18.666</v>
      </c>
      <c r="G82" s="2" t="s">
        <v>52</v>
      </c>
    </row>
    <row r="83" spans="1:7" x14ac:dyDescent="0.3">
      <c r="A83" s="19">
        <v>45292</v>
      </c>
      <c r="B83" s="2" t="s">
        <v>10</v>
      </c>
      <c r="C83" s="2">
        <v>4100</v>
      </c>
      <c r="D83" s="2" t="s">
        <v>42</v>
      </c>
      <c r="E83" s="2" t="s">
        <v>40</v>
      </c>
      <c r="F83" s="21">
        <v>1.972</v>
      </c>
      <c r="G83" s="2" t="s">
        <v>52</v>
      </c>
    </row>
    <row r="84" spans="1:7" x14ac:dyDescent="0.3">
      <c r="A84" s="19">
        <v>45292</v>
      </c>
      <c r="B84" s="2" t="s">
        <v>10</v>
      </c>
      <c r="C84" s="2">
        <v>4200</v>
      </c>
      <c r="D84" s="2" t="s">
        <v>43</v>
      </c>
      <c r="E84" s="2" t="s">
        <v>40</v>
      </c>
      <c r="F84" s="21">
        <v>1.571</v>
      </c>
      <c r="G84" s="2" t="s">
        <v>52</v>
      </c>
    </row>
    <row r="85" spans="1:7" x14ac:dyDescent="0.3">
      <c r="A85" s="19">
        <v>45292</v>
      </c>
      <c r="B85" s="2" t="s">
        <v>10</v>
      </c>
      <c r="C85" s="2">
        <v>5000</v>
      </c>
      <c r="D85" s="2" t="s">
        <v>44</v>
      </c>
      <c r="E85" s="2" t="s">
        <v>45</v>
      </c>
      <c r="F85" s="21">
        <v>-8.7940000000000005</v>
      </c>
      <c r="G85" s="2" t="s">
        <v>52</v>
      </c>
    </row>
    <row r="86" spans="1:7" x14ac:dyDescent="0.3">
      <c r="A86" s="19">
        <v>45292</v>
      </c>
      <c r="B86" s="2" t="s">
        <v>10</v>
      </c>
      <c r="C86" s="2">
        <v>5100</v>
      </c>
      <c r="D86" s="2" t="s">
        <v>46</v>
      </c>
      <c r="E86" s="2" t="s">
        <v>45</v>
      </c>
      <c r="F86" s="21">
        <v>-4.0869999999999997</v>
      </c>
      <c r="G86" s="2" t="s">
        <v>52</v>
      </c>
    </row>
    <row r="87" spans="1:7" x14ac:dyDescent="0.3">
      <c r="A87" s="19">
        <v>45292</v>
      </c>
      <c r="B87" s="2" t="s">
        <v>10</v>
      </c>
      <c r="C87" s="2">
        <v>5200</v>
      </c>
      <c r="D87" s="2" t="s">
        <v>47</v>
      </c>
      <c r="E87" s="2" t="s">
        <v>45</v>
      </c>
      <c r="F87" s="21">
        <v>-2.552</v>
      </c>
      <c r="G87" s="2" t="s">
        <v>52</v>
      </c>
    </row>
    <row r="88" spans="1:7" x14ac:dyDescent="0.3">
      <c r="A88" s="19">
        <v>45292</v>
      </c>
      <c r="B88" s="2" t="s">
        <v>10</v>
      </c>
      <c r="C88" s="2">
        <v>5300</v>
      </c>
      <c r="D88" s="2" t="s">
        <v>48</v>
      </c>
      <c r="E88" s="2" t="s">
        <v>45</v>
      </c>
      <c r="F88" s="21">
        <v>-1.018</v>
      </c>
      <c r="G88" s="2" t="s">
        <v>52</v>
      </c>
    </row>
    <row r="89" spans="1:7" x14ac:dyDescent="0.3">
      <c r="A89" s="19">
        <v>45292</v>
      </c>
      <c r="B89" s="2" t="s">
        <v>10</v>
      </c>
      <c r="C89" s="2">
        <v>5400</v>
      </c>
      <c r="D89" s="2" t="s">
        <v>49</v>
      </c>
      <c r="E89" s="2" t="s">
        <v>45</v>
      </c>
      <c r="F89" s="21">
        <v>-1.242</v>
      </c>
      <c r="G89" s="2" t="s">
        <v>52</v>
      </c>
    </row>
    <row r="90" spans="1:7" x14ac:dyDescent="0.3">
      <c r="A90" s="19">
        <v>45292</v>
      </c>
      <c r="B90" s="2" t="s">
        <v>11</v>
      </c>
      <c r="C90" s="2">
        <v>4000</v>
      </c>
      <c r="D90" s="2" t="s">
        <v>39</v>
      </c>
      <c r="E90" s="2" t="s">
        <v>40</v>
      </c>
      <c r="F90" s="21">
        <v>7.8650000000000002</v>
      </c>
      <c r="G90" s="2" t="s">
        <v>52</v>
      </c>
    </row>
    <row r="91" spans="1:7" x14ac:dyDescent="0.3">
      <c r="A91" s="19">
        <v>45292</v>
      </c>
      <c r="B91" s="2" t="s">
        <v>11</v>
      </c>
      <c r="C91" s="2">
        <v>4100</v>
      </c>
      <c r="D91" s="2" t="s">
        <v>42</v>
      </c>
      <c r="E91" s="2" t="s">
        <v>40</v>
      </c>
      <c r="F91" s="21">
        <v>0.51600000000000001</v>
      </c>
      <c r="G91" s="2" t="s">
        <v>52</v>
      </c>
    </row>
    <row r="92" spans="1:7" x14ac:dyDescent="0.3">
      <c r="A92" s="19">
        <v>45292</v>
      </c>
      <c r="B92" s="2" t="s">
        <v>11</v>
      </c>
      <c r="C92" s="2">
        <v>4200</v>
      </c>
      <c r="D92" s="2" t="s">
        <v>43</v>
      </c>
      <c r="E92" s="2" t="s">
        <v>40</v>
      </c>
      <c r="F92" s="21">
        <v>0.78300000000000003</v>
      </c>
      <c r="G92" s="2" t="s">
        <v>52</v>
      </c>
    </row>
    <row r="93" spans="1:7" x14ac:dyDescent="0.3">
      <c r="A93" s="19">
        <v>45292</v>
      </c>
      <c r="B93" s="2" t="s">
        <v>11</v>
      </c>
      <c r="C93" s="2">
        <v>5000</v>
      </c>
      <c r="D93" s="2" t="s">
        <v>44</v>
      </c>
      <c r="E93" s="2" t="s">
        <v>45</v>
      </c>
      <c r="F93" s="21">
        <v>-3.669</v>
      </c>
      <c r="G93" s="2" t="s">
        <v>52</v>
      </c>
    </row>
    <row r="94" spans="1:7" x14ac:dyDescent="0.3">
      <c r="A94" s="19">
        <v>45292</v>
      </c>
      <c r="B94" s="2" t="s">
        <v>11</v>
      </c>
      <c r="C94" s="2">
        <v>5100</v>
      </c>
      <c r="D94" s="2" t="s">
        <v>46</v>
      </c>
      <c r="E94" s="2" t="s">
        <v>45</v>
      </c>
      <c r="F94" s="21">
        <v>-1.165</v>
      </c>
      <c r="G94" s="2" t="s">
        <v>52</v>
      </c>
    </row>
    <row r="95" spans="1:7" x14ac:dyDescent="0.3">
      <c r="A95" s="19">
        <v>45292</v>
      </c>
      <c r="B95" s="2" t="s">
        <v>11</v>
      </c>
      <c r="C95" s="2">
        <v>5200</v>
      </c>
      <c r="D95" s="2" t="s">
        <v>47</v>
      </c>
      <c r="E95" s="2" t="s">
        <v>45</v>
      </c>
      <c r="F95" s="21">
        <v>-1.0469999999999999</v>
      </c>
      <c r="G95" s="2" t="s">
        <v>52</v>
      </c>
    </row>
    <row r="96" spans="1:7" x14ac:dyDescent="0.3">
      <c r="A96" s="19">
        <v>45292</v>
      </c>
      <c r="B96" s="2" t="s">
        <v>11</v>
      </c>
      <c r="C96" s="2">
        <v>5300</v>
      </c>
      <c r="D96" s="2" t="s">
        <v>48</v>
      </c>
      <c r="E96" s="2" t="s">
        <v>45</v>
      </c>
      <c r="F96" s="21">
        <v>-0.60499999999999998</v>
      </c>
      <c r="G96" s="2" t="s">
        <v>52</v>
      </c>
    </row>
    <row r="97" spans="1:7" x14ac:dyDescent="0.3">
      <c r="A97" s="19">
        <v>45292</v>
      </c>
      <c r="B97" s="2" t="s">
        <v>11</v>
      </c>
      <c r="C97" s="2">
        <v>5400</v>
      </c>
      <c r="D97" s="2" t="s">
        <v>49</v>
      </c>
      <c r="E97" s="2" t="s">
        <v>45</v>
      </c>
      <c r="F97" s="21">
        <v>-0.72199999999999998</v>
      </c>
      <c r="G97" s="2" t="s">
        <v>52</v>
      </c>
    </row>
    <row r="98" spans="1:7" x14ac:dyDescent="0.3">
      <c r="A98" s="19">
        <v>45323</v>
      </c>
      <c r="B98" s="2" t="s">
        <v>5</v>
      </c>
      <c r="C98" s="2">
        <v>4000</v>
      </c>
      <c r="D98" s="2" t="s">
        <v>39</v>
      </c>
      <c r="E98" s="2" t="s">
        <v>40</v>
      </c>
      <c r="F98" s="21">
        <v>98.400999999999996</v>
      </c>
      <c r="G98" s="2" t="s">
        <v>53</v>
      </c>
    </row>
    <row r="99" spans="1:7" x14ac:dyDescent="0.3">
      <c r="A99" s="19">
        <v>45323</v>
      </c>
      <c r="B99" s="2" t="s">
        <v>5</v>
      </c>
      <c r="C99" s="2">
        <v>4100</v>
      </c>
      <c r="D99" s="2" t="s">
        <v>42</v>
      </c>
      <c r="E99" s="2" t="s">
        <v>40</v>
      </c>
      <c r="F99" s="21">
        <v>11.752000000000001</v>
      </c>
      <c r="G99" s="2" t="s">
        <v>53</v>
      </c>
    </row>
    <row r="100" spans="1:7" x14ac:dyDescent="0.3">
      <c r="A100" s="19">
        <v>45323</v>
      </c>
      <c r="B100" s="2" t="s">
        <v>5</v>
      </c>
      <c r="C100" s="2">
        <v>4200</v>
      </c>
      <c r="D100" s="2" t="s">
        <v>43</v>
      </c>
      <c r="E100" s="2" t="s">
        <v>40</v>
      </c>
      <c r="F100" s="21">
        <v>5.0380000000000003</v>
      </c>
      <c r="G100" s="2" t="s">
        <v>53</v>
      </c>
    </row>
    <row r="101" spans="1:7" x14ac:dyDescent="0.3">
      <c r="A101" s="19">
        <v>45323</v>
      </c>
      <c r="B101" s="2" t="s">
        <v>5</v>
      </c>
      <c r="C101" s="2">
        <v>5000</v>
      </c>
      <c r="D101" s="2" t="s">
        <v>44</v>
      </c>
      <c r="E101" s="2" t="s">
        <v>45</v>
      </c>
      <c r="F101" s="21">
        <v>-36.926000000000002</v>
      </c>
      <c r="G101" s="2" t="s">
        <v>53</v>
      </c>
    </row>
    <row r="102" spans="1:7" x14ac:dyDescent="0.3">
      <c r="A102" s="19">
        <v>45323</v>
      </c>
      <c r="B102" s="2" t="s">
        <v>5</v>
      </c>
      <c r="C102" s="2">
        <v>5100</v>
      </c>
      <c r="D102" s="2" t="s">
        <v>46</v>
      </c>
      <c r="E102" s="2" t="s">
        <v>45</v>
      </c>
      <c r="F102" s="21">
        <v>-7.9210000000000003</v>
      </c>
      <c r="G102" s="2" t="s">
        <v>53</v>
      </c>
    </row>
    <row r="103" spans="1:7" x14ac:dyDescent="0.3">
      <c r="A103" s="19">
        <v>45323</v>
      </c>
      <c r="B103" s="2" t="s">
        <v>5</v>
      </c>
      <c r="C103" s="2">
        <v>5200</v>
      </c>
      <c r="D103" s="2" t="s">
        <v>47</v>
      </c>
      <c r="E103" s="2" t="s">
        <v>45</v>
      </c>
      <c r="F103" s="21">
        <v>-6.0419999999999998</v>
      </c>
      <c r="G103" s="2" t="s">
        <v>53</v>
      </c>
    </row>
    <row r="104" spans="1:7" x14ac:dyDescent="0.3">
      <c r="A104" s="19">
        <v>45323</v>
      </c>
      <c r="B104" s="2" t="s">
        <v>5</v>
      </c>
      <c r="C104" s="2">
        <v>5300</v>
      </c>
      <c r="D104" s="2" t="s">
        <v>48</v>
      </c>
      <c r="E104" s="2" t="s">
        <v>45</v>
      </c>
      <c r="F104" s="21">
        <v>-2.9180000000000001</v>
      </c>
      <c r="G104" s="2" t="s">
        <v>53</v>
      </c>
    </row>
    <row r="105" spans="1:7" x14ac:dyDescent="0.3">
      <c r="A105" s="19">
        <v>45323</v>
      </c>
      <c r="B105" s="2" t="s">
        <v>5</v>
      </c>
      <c r="C105" s="2">
        <v>5400</v>
      </c>
      <c r="D105" s="2" t="s">
        <v>49</v>
      </c>
      <c r="E105" s="2" t="s">
        <v>45</v>
      </c>
      <c r="F105" s="21">
        <v>-3.9849999999999999</v>
      </c>
      <c r="G105" s="2" t="s">
        <v>53</v>
      </c>
    </row>
    <row r="106" spans="1:7" x14ac:dyDescent="0.3">
      <c r="A106" s="19">
        <v>45323</v>
      </c>
      <c r="B106" s="2" t="s">
        <v>10</v>
      </c>
      <c r="C106" s="2">
        <v>4000</v>
      </c>
      <c r="D106" s="2" t="s">
        <v>39</v>
      </c>
      <c r="E106" s="2" t="s">
        <v>40</v>
      </c>
      <c r="F106" s="21">
        <v>17.751000000000001</v>
      </c>
      <c r="G106" s="2" t="s">
        <v>53</v>
      </c>
    </row>
    <row r="107" spans="1:7" x14ac:dyDescent="0.3">
      <c r="A107" s="19">
        <v>45323</v>
      </c>
      <c r="B107" s="2" t="s">
        <v>10</v>
      </c>
      <c r="C107" s="2">
        <v>4100</v>
      </c>
      <c r="D107" s="2" t="s">
        <v>42</v>
      </c>
      <c r="E107" s="2" t="s">
        <v>40</v>
      </c>
      <c r="F107" s="21">
        <v>1.9830000000000001</v>
      </c>
      <c r="G107" s="2" t="s">
        <v>53</v>
      </c>
    </row>
    <row r="108" spans="1:7" x14ac:dyDescent="0.3">
      <c r="A108" s="19">
        <v>45323</v>
      </c>
      <c r="B108" s="2" t="s">
        <v>10</v>
      </c>
      <c r="C108" s="2">
        <v>4200</v>
      </c>
      <c r="D108" s="2" t="s">
        <v>43</v>
      </c>
      <c r="E108" s="2" t="s">
        <v>40</v>
      </c>
      <c r="F108" s="21">
        <v>1.5469999999999999</v>
      </c>
      <c r="G108" s="2" t="s">
        <v>53</v>
      </c>
    </row>
    <row r="109" spans="1:7" x14ac:dyDescent="0.3">
      <c r="A109" s="19">
        <v>45323</v>
      </c>
      <c r="B109" s="2" t="s">
        <v>10</v>
      </c>
      <c r="C109" s="2">
        <v>5000</v>
      </c>
      <c r="D109" s="2" t="s">
        <v>44</v>
      </c>
      <c r="E109" s="2" t="s">
        <v>45</v>
      </c>
      <c r="F109" s="21">
        <v>-8.8070000000000004</v>
      </c>
      <c r="G109" s="2" t="s">
        <v>53</v>
      </c>
    </row>
    <row r="110" spans="1:7" x14ac:dyDescent="0.3">
      <c r="A110" s="19">
        <v>45323</v>
      </c>
      <c r="B110" s="2" t="s">
        <v>10</v>
      </c>
      <c r="C110" s="2">
        <v>5100</v>
      </c>
      <c r="D110" s="2" t="s">
        <v>46</v>
      </c>
      <c r="E110" s="2" t="s">
        <v>45</v>
      </c>
      <c r="F110" s="21">
        <v>-3.923</v>
      </c>
      <c r="G110" s="2" t="s">
        <v>53</v>
      </c>
    </row>
    <row r="111" spans="1:7" x14ac:dyDescent="0.3">
      <c r="A111" s="19">
        <v>45323</v>
      </c>
      <c r="B111" s="2" t="s">
        <v>10</v>
      </c>
      <c r="C111" s="2">
        <v>5200</v>
      </c>
      <c r="D111" s="2" t="s">
        <v>47</v>
      </c>
      <c r="E111" s="2" t="s">
        <v>45</v>
      </c>
      <c r="F111" s="21">
        <v>-2.621</v>
      </c>
      <c r="G111" s="2" t="s">
        <v>53</v>
      </c>
    </row>
    <row r="112" spans="1:7" x14ac:dyDescent="0.3">
      <c r="A112" s="19">
        <v>45323</v>
      </c>
      <c r="B112" s="2" t="s">
        <v>10</v>
      </c>
      <c r="C112" s="2">
        <v>5300</v>
      </c>
      <c r="D112" s="2" t="s">
        <v>48</v>
      </c>
      <c r="E112" s="2" t="s">
        <v>45</v>
      </c>
      <c r="F112" s="21">
        <v>-1.018</v>
      </c>
      <c r="G112" s="2" t="s">
        <v>53</v>
      </c>
    </row>
    <row r="113" spans="1:7" x14ac:dyDescent="0.3">
      <c r="A113" s="19">
        <v>45323</v>
      </c>
      <c r="B113" s="2" t="s">
        <v>10</v>
      </c>
      <c r="C113" s="2">
        <v>5400</v>
      </c>
      <c r="D113" s="2" t="s">
        <v>49</v>
      </c>
      <c r="E113" s="2" t="s">
        <v>45</v>
      </c>
      <c r="F113" s="21">
        <v>-1.169</v>
      </c>
      <c r="G113" s="2" t="s">
        <v>53</v>
      </c>
    </row>
    <row r="114" spans="1:7" x14ac:dyDescent="0.3">
      <c r="A114" s="19">
        <v>45323</v>
      </c>
      <c r="B114" s="2" t="s">
        <v>11</v>
      </c>
      <c r="C114" s="2">
        <v>4000</v>
      </c>
      <c r="D114" s="2" t="s">
        <v>39</v>
      </c>
      <c r="E114" s="2" t="s">
        <v>40</v>
      </c>
      <c r="F114" s="21">
        <v>8.0009999999999994</v>
      </c>
      <c r="G114" s="2" t="s">
        <v>53</v>
      </c>
    </row>
    <row r="115" spans="1:7" x14ac:dyDescent="0.3">
      <c r="A115" s="19">
        <v>45323</v>
      </c>
      <c r="B115" s="2" t="s">
        <v>11</v>
      </c>
      <c r="C115" s="2">
        <v>4100</v>
      </c>
      <c r="D115" s="2" t="s">
        <v>42</v>
      </c>
      <c r="E115" s="2" t="s">
        <v>40</v>
      </c>
      <c r="F115" s="21">
        <v>0.48799999999999999</v>
      </c>
      <c r="G115" s="2" t="s">
        <v>53</v>
      </c>
    </row>
    <row r="116" spans="1:7" x14ac:dyDescent="0.3">
      <c r="A116" s="19">
        <v>45323</v>
      </c>
      <c r="B116" s="2" t="s">
        <v>11</v>
      </c>
      <c r="C116" s="2">
        <v>4200</v>
      </c>
      <c r="D116" s="2" t="s">
        <v>43</v>
      </c>
      <c r="E116" s="2" t="s">
        <v>40</v>
      </c>
      <c r="F116" s="21">
        <v>0.80500000000000005</v>
      </c>
      <c r="G116" s="2" t="s">
        <v>53</v>
      </c>
    </row>
    <row r="117" spans="1:7" x14ac:dyDescent="0.3">
      <c r="A117" s="19">
        <v>45323</v>
      </c>
      <c r="B117" s="2" t="s">
        <v>11</v>
      </c>
      <c r="C117" s="2">
        <v>5000</v>
      </c>
      <c r="D117" s="2" t="s">
        <v>44</v>
      </c>
      <c r="E117" s="2" t="s">
        <v>45</v>
      </c>
      <c r="F117" s="21">
        <v>-3.504</v>
      </c>
      <c r="G117" s="2" t="s">
        <v>53</v>
      </c>
    </row>
    <row r="118" spans="1:7" x14ac:dyDescent="0.3">
      <c r="A118" s="19">
        <v>45323</v>
      </c>
      <c r="B118" s="2" t="s">
        <v>11</v>
      </c>
      <c r="C118" s="2">
        <v>5100</v>
      </c>
      <c r="D118" s="2" t="s">
        <v>46</v>
      </c>
      <c r="E118" s="2" t="s">
        <v>45</v>
      </c>
      <c r="F118" s="21">
        <v>-1.2589999999999999</v>
      </c>
      <c r="G118" s="2" t="s">
        <v>53</v>
      </c>
    </row>
    <row r="119" spans="1:7" x14ac:dyDescent="0.3">
      <c r="A119" s="19">
        <v>45323</v>
      </c>
      <c r="B119" s="2" t="s">
        <v>11</v>
      </c>
      <c r="C119" s="2">
        <v>5200</v>
      </c>
      <c r="D119" s="2" t="s">
        <v>47</v>
      </c>
      <c r="E119" s="2" t="s">
        <v>45</v>
      </c>
      <c r="F119" s="21">
        <v>-1.0289999999999999</v>
      </c>
      <c r="G119" s="2" t="s">
        <v>53</v>
      </c>
    </row>
    <row r="120" spans="1:7" x14ac:dyDescent="0.3">
      <c r="A120" s="19">
        <v>45323</v>
      </c>
      <c r="B120" s="2" t="s">
        <v>11</v>
      </c>
      <c r="C120" s="2">
        <v>5300</v>
      </c>
      <c r="D120" s="2" t="s">
        <v>48</v>
      </c>
      <c r="E120" s="2" t="s">
        <v>45</v>
      </c>
      <c r="F120" s="21">
        <v>-0.60199999999999998</v>
      </c>
      <c r="G120" s="2" t="s">
        <v>53</v>
      </c>
    </row>
    <row r="121" spans="1:7" x14ac:dyDescent="0.3">
      <c r="A121" s="19">
        <v>45323</v>
      </c>
      <c r="B121" s="2" t="s">
        <v>11</v>
      </c>
      <c r="C121" s="2">
        <v>5400</v>
      </c>
      <c r="D121" s="2" t="s">
        <v>49</v>
      </c>
      <c r="E121" s="2" t="s">
        <v>45</v>
      </c>
      <c r="F121" s="21">
        <v>-0.71899999999999997</v>
      </c>
      <c r="G121" s="2" t="s">
        <v>53</v>
      </c>
    </row>
    <row r="122" spans="1:7" x14ac:dyDescent="0.3">
      <c r="A122" s="19">
        <v>45352</v>
      </c>
      <c r="B122" s="2" t="s">
        <v>5</v>
      </c>
      <c r="C122" s="2">
        <v>4000</v>
      </c>
      <c r="D122" s="2" t="s">
        <v>39</v>
      </c>
      <c r="E122" s="2" t="s">
        <v>40</v>
      </c>
      <c r="F122" s="21">
        <v>94.796000000000006</v>
      </c>
      <c r="G122" s="2" t="s">
        <v>54</v>
      </c>
    </row>
    <row r="123" spans="1:7" x14ac:dyDescent="0.3">
      <c r="A123" s="19">
        <v>45352</v>
      </c>
      <c r="B123" s="2" t="s">
        <v>5</v>
      </c>
      <c r="C123" s="2">
        <v>4100</v>
      </c>
      <c r="D123" s="2" t="s">
        <v>42</v>
      </c>
      <c r="E123" s="2" t="s">
        <v>40</v>
      </c>
      <c r="F123" s="21">
        <v>12.552</v>
      </c>
      <c r="G123" s="2" t="s">
        <v>54</v>
      </c>
    </row>
    <row r="124" spans="1:7" x14ac:dyDescent="0.3">
      <c r="A124" s="19">
        <v>45352</v>
      </c>
      <c r="B124" s="2" t="s">
        <v>5</v>
      </c>
      <c r="C124" s="2">
        <v>4200</v>
      </c>
      <c r="D124" s="2" t="s">
        <v>43</v>
      </c>
      <c r="E124" s="2" t="s">
        <v>40</v>
      </c>
      <c r="F124" s="21">
        <v>5.1429999999999998</v>
      </c>
      <c r="G124" s="2" t="s">
        <v>54</v>
      </c>
    </row>
    <row r="125" spans="1:7" x14ac:dyDescent="0.3">
      <c r="A125" s="19">
        <v>45352</v>
      </c>
      <c r="B125" s="2" t="s">
        <v>5</v>
      </c>
      <c r="C125" s="2">
        <v>5000</v>
      </c>
      <c r="D125" s="2" t="s">
        <v>44</v>
      </c>
      <c r="E125" s="2" t="s">
        <v>45</v>
      </c>
      <c r="F125" s="21">
        <v>-38.848999999999997</v>
      </c>
      <c r="G125" s="2" t="s">
        <v>54</v>
      </c>
    </row>
    <row r="126" spans="1:7" x14ac:dyDescent="0.3">
      <c r="A126" s="19">
        <v>45352</v>
      </c>
      <c r="B126" s="2" t="s">
        <v>5</v>
      </c>
      <c r="C126" s="2">
        <v>5100</v>
      </c>
      <c r="D126" s="2" t="s">
        <v>46</v>
      </c>
      <c r="E126" s="2" t="s">
        <v>45</v>
      </c>
      <c r="F126" s="21">
        <v>-7.9370000000000003</v>
      </c>
      <c r="G126" s="2" t="s">
        <v>54</v>
      </c>
    </row>
    <row r="127" spans="1:7" x14ac:dyDescent="0.3">
      <c r="A127" s="19">
        <v>45352</v>
      </c>
      <c r="B127" s="2" t="s">
        <v>5</v>
      </c>
      <c r="C127" s="2">
        <v>5200</v>
      </c>
      <c r="D127" s="2" t="s">
        <v>47</v>
      </c>
      <c r="E127" s="2" t="s">
        <v>45</v>
      </c>
      <c r="F127" s="21">
        <v>-5.9980000000000002</v>
      </c>
      <c r="G127" s="2" t="s">
        <v>54</v>
      </c>
    </row>
    <row r="128" spans="1:7" x14ac:dyDescent="0.3">
      <c r="A128" s="19">
        <v>45352</v>
      </c>
      <c r="B128" s="2" t="s">
        <v>5</v>
      </c>
      <c r="C128" s="2">
        <v>5300</v>
      </c>
      <c r="D128" s="2" t="s">
        <v>48</v>
      </c>
      <c r="E128" s="2" t="s">
        <v>45</v>
      </c>
      <c r="F128" s="21">
        <v>-2.93</v>
      </c>
      <c r="G128" s="2" t="s">
        <v>54</v>
      </c>
    </row>
    <row r="129" spans="1:7" x14ac:dyDescent="0.3">
      <c r="A129" s="19">
        <v>45352</v>
      </c>
      <c r="B129" s="2" t="s">
        <v>5</v>
      </c>
      <c r="C129" s="2">
        <v>5400</v>
      </c>
      <c r="D129" s="2" t="s">
        <v>49</v>
      </c>
      <c r="E129" s="2" t="s">
        <v>45</v>
      </c>
      <c r="F129" s="21">
        <v>-4.1680000000000001</v>
      </c>
      <c r="G129" s="2" t="s">
        <v>54</v>
      </c>
    </row>
    <row r="130" spans="1:7" x14ac:dyDescent="0.3">
      <c r="A130" s="19">
        <v>45352</v>
      </c>
      <c r="B130" s="2" t="s">
        <v>10</v>
      </c>
      <c r="C130" s="2">
        <v>4000</v>
      </c>
      <c r="D130" s="2" t="s">
        <v>39</v>
      </c>
      <c r="E130" s="2" t="s">
        <v>40</v>
      </c>
      <c r="F130" s="21">
        <v>17.588999999999999</v>
      </c>
      <c r="G130" s="2" t="s">
        <v>54</v>
      </c>
    </row>
    <row r="131" spans="1:7" x14ac:dyDescent="0.3">
      <c r="A131" s="19">
        <v>45352</v>
      </c>
      <c r="B131" s="2" t="s">
        <v>10</v>
      </c>
      <c r="C131" s="2">
        <v>4100</v>
      </c>
      <c r="D131" s="2" t="s">
        <v>42</v>
      </c>
      <c r="E131" s="2" t="s">
        <v>40</v>
      </c>
      <c r="F131" s="21">
        <v>1.952</v>
      </c>
      <c r="G131" s="2" t="s">
        <v>54</v>
      </c>
    </row>
    <row r="132" spans="1:7" x14ac:dyDescent="0.3">
      <c r="A132" s="19">
        <v>45352</v>
      </c>
      <c r="B132" s="2" t="s">
        <v>10</v>
      </c>
      <c r="C132" s="2">
        <v>4200</v>
      </c>
      <c r="D132" s="2" t="s">
        <v>43</v>
      </c>
      <c r="E132" s="2" t="s">
        <v>40</v>
      </c>
      <c r="F132" s="21">
        <v>1.478</v>
      </c>
      <c r="G132" s="2" t="s">
        <v>54</v>
      </c>
    </row>
    <row r="133" spans="1:7" x14ac:dyDescent="0.3">
      <c r="A133" s="19">
        <v>45352</v>
      </c>
      <c r="B133" s="2" t="s">
        <v>10</v>
      </c>
      <c r="C133" s="2">
        <v>5000</v>
      </c>
      <c r="D133" s="2" t="s">
        <v>44</v>
      </c>
      <c r="E133" s="2" t="s">
        <v>45</v>
      </c>
      <c r="F133" s="21">
        <v>-8.9559999999999995</v>
      </c>
      <c r="G133" s="2" t="s">
        <v>54</v>
      </c>
    </row>
    <row r="134" spans="1:7" x14ac:dyDescent="0.3">
      <c r="A134" s="19">
        <v>45352</v>
      </c>
      <c r="B134" s="2" t="s">
        <v>10</v>
      </c>
      <c r="C134" s="2">
        <v>5100</v>
      </c>
      <c r="D134" s="2" t="s">
        <v>46</v>
      </c>
      <c r="E134" s="2" t="s">
        <v>45</v>
      </c>
      <c r="F134" s="21">
        <v>-4.2160000000000002</v>
      </c>
      <c r="G134" s="2" t="s">
        <v>54</v>
      </c>
    </row>
    <row r="135" spans="1:7" x14ac:dyDescent="0.3">
      <c r="A135" s="19">
        <v>45352</v>
      </c>
      <c r="B135" s="2" t="s">
        <v>10</v>
      </c>
      <c r="C135" s="2">
        <v>5200</v>
      </c>
      <c r="D135" s="2" t="s">
        <v>47</v>
      </c>
      <c r="E135" s="2" t="s">
        <v>45</v>
      </c>
      <c r="F135" s="21">
        <v>-2.548</v>
      </c>
      <c r="G135" s="2" t="s">
        <v>54</v>
      </c>
    </row>
    <row r="136" spans="1:7" x14ac:dyDescent="0.3">
      <c r="A136" s="19">
        <v>45352</v>
      </c>
      <c r="B136" s="2" t="s">
        <v>10</v>
      </c>
      <c r="C136" s="2">
        <v>5300</v>
      </c>
      <c r="D136" s="2" t="s">
        <v>48</v>
      </c>
      <c r="E136" s="2" t="s">
        <v>45</v>
      </c>
      <c r="F136" s="21">
        <v>-1.006</v>
      </c>
      <c r="G136" s="2" t="s">
        <v>54</v>
      </c>
    </row>
    <row r="137" spans="1:7" x14ac:dyDescent="0.3">
      <c r="A137" s="19">
        <v>45352</v>
      </c>
      <c r="B137" s="2" t="s">
        <v>10</v>
      </c>
      <c r="C137" s="2">
        <v>5400</v>
      </c>
      <c r="D137" s="2" t="s">
        <v>49</v>
      </c>
      <c r="E137" s="2" t="s">
        <v>45</v>
      </c>
      <c r="F137" s="21">
        <v>-1.2010000000000001</v>
      </c>
      <c r="G137" s="2" t="s">
        <v>54</v>
      </c>
    </row>
    <row r="138" spans="1:7" x14ac:dyDescent="0.3">
      <c r="A138" s="19">
        <v>45352</v>
      </c>
      <c r="B138" s="2" t="s">
        <v>11</v>
      </c>
      <c r="C138" s="2">
        <v>4000</v>
      </c>
      <c r="D138" s="2" t="s">
        <v>39</v>
      </c>
      <c r="E138" s="2" t="s">
        <v>40</v>
      </c>
      <c r="F138" s="21">
        <v>8.1140000000000008</v>
      </c>
      <c r="G138" s="2" t="s">
        <v>54</v>
      </c>
    </row>
    <row r="139" spans="1:7" x14ac:dyDescent="0.3">
      <c r="A139" s="19">
        <v>45352</v>
      </c>
      <c r="B139" s="2" t="s">
        <v>11</v>
      </c>
      <c r="C139" s="2">
        <v>4100</v>
      </c>
      <c r="D139" s="2" t="s">
        <v>42</v>
      </c>
      <c r="E139" s="2" t="s">
        <v>40</v>
      </c>
      <c r="F139" s="21">
        <v>0.52200000000000002</v>
      </c>
      <c r="G139" s="2" t="s">
        <v>54</v>
      </c>
    </row>
    <row r="140" spans="1:7" x14ac:dyDescent="0.3">
      <c r="A140" s="19">
        <v>45352</v>
      </c>
      <c r="B140" s="2" t="s">
        <v>11</v>
      </c>
      <c r="C140" s="2">
        <v>4200</v>
      </c>
      <c r="D140" s="2" t="s">
        <v>43</v>
      </c>
      <c r="E140" s="2" t="s">
        <v>40</v>
      </c>
      <c r="F140" s="21">
        <v>0.81100000000000005</v>
      </c>
      <c r="G140" s="2" t="s">
        <v>54</v>
      </c>
    </row>
    <row r="141" spans="1:7" x14ac:dyDescent="0.3">
      <c r="A141" s="19">
        <v>45352</v>
      </c>
      <c r="B141" s="2" t="s">
        <v>11</v>
      </c>
      <c r="C141" s="2">
        <v>5000</v>
      </c>
      <c r="D141" s="2" t="s">
        <v>44</v>
      </c>
      <c r="E141" s="2" t="s">
        <v>45</v>
      </c>
      <c r="F141" s="21">
        <v>-3.516</v>
      </c>
      <c r="G141" s="2" t="s">
        <v>54</v>
      </c>
    </row>
    <row r="142" spans="1:7" x14ac:dyDescent="0.3">
      <c r="A142" s="19">
        <v>45352</v>
      </c>
      <c r="B142" s="2" t="s">
        <v>11</v>
      </c>
      <c r="C142" s="2">
        <v>5100</v>
      </c>
      <c r="D142" s="2" t="s">
        <v>46</v>
      </c>
      <c r="E142" s="2" t="s">
        <v>45</v>
      </c>
      <c r="F142" s="21">
        <v>-1.1759999999999999</v>
      </c>
      <c r="G142" s="2" t="s">
        <v>54</v>
      </c>
    </row>
    <row r="143" spans="1:7" x14ac:dyDescent="0.3">
      <c r="A143" s="19">
        <v>45352</v>
      </c>
      <c r="B143" s="2" t="s">
        <v>11</v>
      </c>
      <c r="C143" s="2">
        <v>5200</v>
      </c>
      <c r="D143" s="2" t="s">
        <v>47</v>
      </c>
      <c r="E143" s="2" t="s">
        <v>45</v>
      </c>
      <c r="F143" s="21">
        <v>-1.0429999999999999</v>
      </c>
      <c r="G143" s="2" t="s">
        <v>54</v>
      </c>
    </row>
    <row r="144" spans="1:7" x14ac:dyDescent="0.3">
      <c r="A144" s="19">
        <v>45352</v>
      </c>
      <c r="B144" s="2" t="s">
        <v>11</v>
      </c>
      <c r="C144" s="2">
        <v>5300</v>
      </c>
      <c r="D144" s="2" t="s">
        <v>48</v>
      </c>
      <c r="E144" s="2" t="s">
        <v>45</v>
      </c>
      <c r="F144" s="21">
        <v>-0.61499999999999999</v>
      </c>
      <c r="G144" s="2" t="s">
        <v>54</v>
      </c>
    </row>
    <row r="145" spans="1:7" x14ac:dyDescent="0.3">
      <c r="A145" s="19">
        <v>45352</v>
      </c>
      <c r="B145" s="2" t="s">
        <v>11</v>
      </c>
      <c r="C145" s="2">
        <v>5400</v>
      </c>
      <c r="D145" s="2" t="s">
        <v>49</v>
      </c>
      <c r="E145" s="2" t="s">
        <v>45</v>
      </c>
      <c r="F145" s="21">
        <v>-0.70799999999999996</v>
      </c>
      <c r="G145" s="2" t="s">
        <v>54</v>
      </c>
    </row>
    <row r="146" spans="1:7" x14ac:dyDescent="0.3">
      <c r="A146" s="19">
        <v>45383</v>
      </c>
      <c r="B146" s="2" t="s">
        <v>5</v>
      </c>
      <c r="C146" s="2">
        <v>4000</v>
      </c>
      <c r="D146" s="2" t="s">
        <v>39</v>
      </c>
      <c r="E146" s="2" t="s">
        <v>40</v>
      </c>
      <c r="F146" s="21">
        <v>99.480999999999995</v>
      </c>
      <c r="G146" s="2" t="s">
        <v>55</v>
      </c>
    </row>
    <row r="147" spans="1:7" x14ac:dyDescent="0.3">
      <c r="A147" s="19">
        <v>45383</v>
      </c>
      <c r="B147" s="2" t="s">
        <v>5</v>
      </c>
      <c r="C147" s="2">
        <v>4100</v>
      </c>
      <c r="D147" s="2" t="s">
        <v>42</v>
      </c>
      <c r="E147" s="2" t="s">
        <v>40</v>
      </c>
      <c r="F147" s="21">
        <v>12.343</v>
      </c>
      <c r="G147" s="2" t="s">
        <v>55</v>
      </c>
    </row>
    <row r="148" spans="1:7" x14ac:dyDescent="0.3">
      <c r="A148" s="19">
        <v>45383</v>
      </c>
      <c r="B148" s="2" t="s">
        <v>5</v>
      </c>
      <c r="C148" s="2">
        <v>4200</v>
      </c>
      <c r="D148" s="2" t="s">
        <v>43</v>
      </c>
      <c r="E148" s="2" t="s">
        <v>40</v>
      </c>
      <c r="F148" s="21">
        <v>5.0529999999999999</v>
      </c>
      <c r="G148" s="2" t="s">
        <v>55</v>
      </c>
    </row>
    <row r="149" spans="1:7" x14ac:dyDescent="0.3">
      <c r="A149" s="19">
        <v>45383</v>
      </c>
      <c r="B149" s="2" t="s">
        <v>5</v>
      </c>
      <c r="C149" s="2">
        <v>5000</v>
      </c>
      <c r="D149" s="2" t="s">
        <v>44</v>
      </c>
      <c r="E149" s="2" t="s">
        <v>45</v>
      </c>
      <c r="F149" s="21">
        <v>-39.979999999999997</v>
      </c>
      <c r="G149" s="2" t="s">
        <v>55</v>
      </c>
    </row>
    <row r="150" spans="1:7" x14ac:dyDescent="0.3">
      <c r="A150" s="19">
        <v>45383</v>
      </c>
      <c r="B150" s="2" t="s">
        <v>5</v>
      </c>
      <c r="C150" s="2">
        <v>5100</v>
      </c>
      <c r="D150" s="2" t="s">
        <v>46</v>
      </c>
      <c r="E150" s="2" t="s">
        <v>45</v>
      </c>
      <c r="F150" s="21">
        <v>-8.3640000000000008</v>
      </c>
      <c r="G150" s="2" t="s">
        <v>55</v>
      </c>
    </row>
    <row r="151" spans="1:7" x14ac:dyDescent="0.3">
      <c r="A151" s="19">
        <v>45383</v>
      </c>
      <c r="B151" s="2" t="s">
        <v>5</v>
      </c>
      <c r="C151" s="2">
        <v>5200</v>
      </c>
      <c r="D151" s="2" t="s">
        <v>47</v>
      </c>
      <c r="E151" s="2" t="s">
        <v>45</v>
      </c>
      <c r="F151" s="21">
        <v>-6.0430000000000001</v>
      </c>
      <c r="G151" s="2" t="s">
        <v>55</v>
      </c>
    </row>
    <row r="152" spans="1:7" x14ac:dyDescent="0.3">
      <c r="A152" s="19">
        <v>45383</v>
      </c>
      <c r="B152" s="2" t="s">
        <v>5</v>
      </c>
      <c r="C152" s="2">
        <v>5300</v>
      </c>
      <c r="D152" s="2" t="s">
        <v>48</v>
      </c>
      <c r="E152" s="2" t="s">
        <v>45</v>
      </c>
      <c r="F152" s="21">
        <v>-3.0419999999999998</v>
      </c>
      <c r="G152" s="2" t="s">
        <v>55</v>
      </c>
    </row>
    <row r="153" spans="1:7" x14ac:dyDescent="0.3">
      <c r="A153" s="19">
        <v>45383</v>
      </c>
      <c r="B153" s="2" t="s">
        <v>5</v>
      </c>
      <c r="C153" s="2">
        <v>5400</v>
      </c>
      <c r="D153" s="2" t="s">
        <v>49</v>
      </c>
      <c r="E153" s="2" t="s">
        <v>45</v>
      </c>
      <c r="F153" s="21">
        <v>-4.1219999999999999</v>
      </c>
      <c r="G153" s="2" t="s">
        <v>55</v>
      </c>
    </row>
    <row r="154" spans="1:7" x14ac:dyDescent="0.3">
      <c r="A154" s="19">
        <v>45383</v>
      </c>
      <c r="B154" s="2" t="s">
        <v>10</v>
      </c>
      <c r="C154" s="2">
        <v>4000</v>
      </c>
      <c r="D154" s="2" t="s">
        <v>39</v>
      </c>
      <c r="E154" s="2" t="s">
        <v>40</v>
      </c>
      <c r="F154" s="21">
        <v>18.673999999999999</v>
      </c>
      <c r="G154" s="2" t="s">
        <v>55</v>
      </c>
    </row>
    <row r="155" spans="1:7" x14ac:dyDescent="0.3">
      <c r="A155" s="19">
        <v>45383</v>
      </c>
      <c r="B155" s="2" t="s">
        <v>10</v>
      </c>
      <c r="C155" s="2">
        <v>4100</v>
      </c>
      <c r="D155" s="2" t="s">
        <v>42</v>
      </c>
      <c r="E155" s="2" t="s">
        <v>40</v>
      </c>
      <c r="F155" s="21">
        <v>2.0960000000000001</v>
      </c>
      <c r="G155" s="2" t="s">
        <v>55</v>
      </c>
    </row>
    <row r="156" spans="1:7" x14ac:dyDescent="0.3">
      <c r="A156" s="19">
        <v>45383</v>
      </c>
      <c r="B156" s="2" t="s">
        <v>10</v>
      </c>
      <c r="C156" s="2">
        <v>4200</v>
      </c>
      <c r="D156" s="2" t="s">
        <v>43</v>
      </c>
      <c r="E156" s="2" t="s">
        <v>40</v>
      </c>
      <c r="F156" s="21">
        <v>1.5269999999999999</v>
      </c>
      <c r="G156" s="2" t="s">
        <v>55</v>
      </c>
    </row>
    <row r="157" spans="1:7" x14ac:dyDescent="0.3">
      <c r="A157" s="19">
        <v>45383</v>
      </c>
      <c r="B157" s="2" t="s">
        <v>10</v>
      </c>
      <c r="C157" s="2">
        <v>5000</v>
      </c>
      <c r="D157" s="2" t="s">
        <v>44</v>
      </c>
      <c r="E157" s="2" t="s">
        <v>45</v>
      </c>
      <c r="F157" s="21">
        <v>-9.4860000000000007</v>
      </c>
      <c r="G157" s="2" t="s">
        <v>55</v>
      </c>
    </row>
    <row r="158" spans="1:7" x14ac:dyDescent="0.3">
      <c r="A158" s="19">
        <v>45383</v>
      </c>
      <c r="B158" s="2" t="s">
        <v>10</v>
      </c>
      <c r="C158" s="2">
        <v>5100</v>
      </c>
      <c r="D158" s="2" t="s">
        <v>46</v>
      </c>
      <c r="E158" s="2" t="s">
        <v>45</v>
      </c>
      <c r="F158" s="21">
        <v>-4.0999999999999996</v>
      </c>
      <c r="G158" s="2" t="s">
        <v>55</v>
      </c>
    </row>
    <row r="159" spans="1:7" x14ac:dyDescent="0.3">
      <c r="A159" s="19">
        <v>45383</v>
      </c>
      <c r="B159" s="2" t="s">
        <v>10</v>
      </c>
      <c r="C159" s="2">
        <v>5200</v>
      </c>
      <c r="D159" s="2" t="s">
        <v>47</v>
      </c>
      <c r="E159" s="2" t="s">
        <v>45</v>
      </c>
      <c r="F159" s="21">
        <v>-2.6019999999999999</v>
      </c>
      <c r="G159" s="2" t="s">
        <v>55</v>
      </c>
    </row>
    <row r="160" spans="1:7" x14ac:dyDescent="0.3">
      <c r="A160" s="19">
        <v>45383</v>
      </c>
      <c r="B160" s="2" t="s">
        <v>10</v>
      </c>
      <c r="C160" s="2">
        <v>5300</v>
      </c>
      <c r="D160" s="2" t="s">
        <v>48</v>
      </c>
      <c r="E160" s="2" t="s">
        <v>45</v>
      </c>
      <c r="F160" s="21">
        <v>-1.0089999999999999</v>
      </c>
      <c r="G160" s="2" t="s">
        <v>55</v>
      </c>
    </row>
    <row r="161" spans="1:7" x14ac:dyDescent="0.3">
      <c r="A161" s="19">
        <v>45383</v>
      </c>
      <c r="B161" s="2" t="s">
        <v>10</v>
      </c>
      <c r="C161" s="2">
        <v>5400</v>
      </c>
      <c r="D161" s="2" t="s">
        <v>49</v>
      </c>
      <c r="E161" s="2" t="s">
        <v>45</v>
      </c>
      <c r="F161" s="21">
        <v>-1.175</v>
      </c>
      <c r="G161" s="2" t="s">
        <v>55</v>
      </c>
    </row>
    <row r="162" spans="1:7" x14ac:dyDescent="0.3">
      <c r="A162" s="19">
        <v>45383</v>
      </c>
      <c r="B162" s="2" t="s">
        <v>11</v>
      </c>
      <c r="C162" s="2">
        <v>4000</v>
      </c>
      <c r="D162" s="2" t="s">
        <v>39</v>
      </c>
      <c r="E162" s="2" t="s">
        <v>40</v>
      </c>
      <c r="F162" s="21">
        <v>8.4209999999999994</v>
      </c>
      <c r="G162" s="2" t="s">
        <v>55</v>
      </c>
    </row>
    <row r="163" spans="1:7" x14ac:dyDescent="0.3">
      <c r="A163" s="19">
        <v>45383</v>
      </c>
      <c r="B163" s="2" t="s">
        <v>11</v>
      </c>
      <c r="C163" s="2">
        <v>4100</v>
      </c>
      <c r="D163" s="2" t="s">
        <v>42</v>
      </c>
      <c r="E163" s="2" t="s">
        <v>40</v>
      </c>
      <c r="F163" s="21">
        <v>0.50900000000000001</v>
      </c>
      <c r="G163" s="2" t="s">
        <v>55</v>
      </c>
    </row>
    <row r="164" spans="1:7" x14ac:dyDescent="0.3">
      <c r="A164" s="19">
        <v>45383</v>
      </c>
      <c r="B164" s="2" t="s">
        <v>11</v>
      </c>
      <c r="C164" s="2">
        <v>4200</v>
      </c>
      <c r="D164" s="2" t="s">
        <v>43</v>
      </c>
      <c r="E164" s="2" t="s">
        <v>40</v>
      </c>
      <c r="F164" s="21">
        <v>0.82099999999999995</v>
      </c>
      <c r="G164" s="2" t="s">
        <v>55</v>
      </c>
    </row>
    <row r="165" spans="1:7" x14ac:dyDescent="0.3">
      <c r="A165" s="19">
        <v>45383</v>
      </c>
      <c r="B165" s="2" t="s">
        <v>11</v>
      </c>
      <c r="C165" s="2">
        <v>5000</v>
      </c>
      <c r="D165" s="2" t="s">
        <v>44</v>
      </c>
      <c r="E165" s="2" t="s">
        <v>45</v>
      </c>
      <c r="F165" s="21">
        <v>-3.5179999999999998</v>
      </c>
      <c r="G165" s="2" t="s">
        <v>55</v>
      </c>
    </row>
    <row r="166" spans="1:7" x14ac:dyDescent="0.3">
      <c r="A166" s="19">
        <v>45383</v>
      </c>
      <c r="B166" s="2" t="s">
        <v>11</v>
      </c>
      <c r="C166" s="2">
        <v>5100</v>
      </c>
      <c r="D166" s="2" t="s">
        <v>46</v>
      </c>
      <c r="E166" s="2" t="s">
        <v>45</v>
      </c>
      <c r="F166" s="21">
        <v>-1.2410000000000001</v>
      </c>
      <c r="G166" s="2" t="s">
        <v>55</v>
      </c>
    </row>
    <row r="167" spans="1:7" x14ac:dyDescent="0.3">
      <c r="A167" s="19">
        <v>45383</v>
      </c>
      <c r="B167" s="2" t="s">
        <v>11</v>
      </c>
      <c r="C167" s="2">
        <v>5200</v>
      </c>
      <c r="D167" s="2" t="s">
        <v>47</v>
      </c>
      <c r="E167" s="2" t="s">
        <v>45</v>
      </c>
      <c r="F167" s="21">
        <v>-1.0369999999999999</v>
      </c>
      <c r="G167" s="2" t="s">
        <v>55</v>
      </c>
    </row>
    <row r="168" spans="1:7" x14ac:dyDescent="0.3">
      <c r="A168" s="19">
        <v>45383</v>
      </c>
      <c r="B168" s="2" t="s">
        <v>11</v>
      </c>
      <c r="C168" s="2">
        <v>5300</v>
      </c>
      <c r="D168" s="2" t="s">
        <v>48</v>
      </c>
      <c r="E168" s="2" t="s">
        <v>45</v>
      </c>
      <c r="F168" s="21">
        <v>-0.60899999999999999</v>
      </c>
      <c r="G168" s="2" t="s">
        <v>55</v>
      </c>
    </row>
    <row r="169" spans="1:7" x14ac:dyDescent="0.3">
      <c r="A169" s="19">
        <v>45383</v>
      </c>
      <c r="B169" s="2" t="s">
        <v>11</v>
      </c>
      <c r="C169" s="2">
        <v>5400</v>
      </c>
      <c r="D169" s="2" t="s">
        <v>49</v>
      </c>
      <c r="E169" s="2" t="s">
        <v>45</v>
      </c>
      <c r="F169" s="21">
        <v>-0.70699999999999996</v>
      </c>
      <c r="G169" s="2" t="s">
        <v>55</v>
      </c>
    </row>
    <row r="170" spans="1:7" x14ac:dyDescent="0.3">
      <c r="A170" s="19">
        <v>45413</v>
      </c>
      <c r="B170" s="2" t="s">
        <v>5</v>
      </c>
      <c r="C170" s="2">
        <v>4000</v>
      </c>
      <c r="D170" s="2" t="s">
        <v>39</v>
      </c>
      <c r="E170" s="2" t="s">
        <v>40</v>
      </c>
      <c r="F170" s="21">
        <v>99.593000000000004</v>
      </c>
      <c r="G170" s="2" t="s">
        <v>56</v>
      </c>
    </row>
    <row r="171" spans="1:7" x14ac:dyDescent="0.3">
      <c r="A171" s="19">
        <v>45413</v>
      </c>
      <c r="B171" s="2" t="s">
        <v>5</v>
      </c>
      <c r="C171" s="2">
        <v>4100</v>
      </c>
      <c r="D171" s="2" t="s">
        <v>42</v>
      </c>
      <c r="E171" s="2" t="s">
        <v>40</v>
      </c>
      <c r="F171" s="21">
        <v>12.423</v>
      </c>
      <c r="G171" s="2" t="s">
        <v>56</v>
      </c>
    </row>
    <row r="172" spans="1:7" x14ac:dyDescent="0.3">
      <c r="A172" s="19">
        <v>45413</v>
      </c>
      <c r="B172" s="2" t="s">
        <v>5</v>
      </c>
      <c r="C172" s="2">
        <v>4200</v>
      </c>
      <c r="D172" s="2" t="s">
        <v>43</v>
      </c>
      <c r="E172" s="2" t="s">
        <v>40</v>
      </c>
      <c r="F172" s="21">
        <v>4.9020000000000001</v>
      </c>
      <c r="G172" s="2" t="s">
        <v>56</v>
      </c>
    </row>
    <row r="173" spans="1:7" x14ac:dyDescent="0.3">
      <c r="A173" s="19">
        <v>45413</v>
      </c>
      <c r="B173" s="2" t="s">
        <v>5</v>
      </c>
      <c r="C173" s="2">
        <v>5000</v>
      </c>
      <c r="D173" s="2" t="s">
        <v>44</v>
      </c>
      <c r="E173" s="2" t="s">
        <v>45</v>
      </c>
      <c r="F173" s="21">
        <v>-38.243000000000002</v>
      </c>
      <c r="G173" s="2" t="s">
        <v>56</v>
      </c>
    </row>
    <row r="174" spans="1:7" x14ac:dyDescent="0.3">
      <c r="A174" s="19">
        <v>45413</v>
      </c>
      <c r="B174" s="2" t="s">
        <v>5</v>
      </c>
      <c r="C174" s="2">
        <v>5100</v>
      </c>
      <c r="D174" s="2" t="s">
        <v>46</v>
      </c>
      <c r="E174" s="2" t="s">
        <v>45</v>
      </c>
      <c r="F174" s="21">
        <v>-8.1150000000000002</v>
      </c>
      <c r="G174" s="2" t="s">
        <v>56</v>
      </c>
    </row>
    <row r="175" spans="1:7" x14ac:dyDescent="0.3">
      <c r="A175" s="19">
        <v>45413</v>
      </c>
      <c r="B175" s="2" t="s">
        <v>5</v>
      </c>
      <c r="C175" s="2">
        <v>5200</v>
      </c>
      <c r="D175" s="2" t="s">
        <v>47</v>
      </c>
      <c r="E175" s="2" t="s">
        <v>45</v>
      </c>
      <c r="F175" s="21">
        <v>-6.343</v>
      </c>
      <c r="G175" s="2" t="s">
        <v>56</v>
      </c>
    </row>
    <row r="176" spans="1:7" x14ac:dyDescent="0.3">
      <c r="A176" s="19">
        <v>45413</v>
      </c>
      <c r="B176" s="2" t="s">
        <v>5</v>
      </c>
      <c r="C176" s="2">
        <v>5300</v>
      </c>
      <c r="D176" s="2" t="s">
        <v>48</v>
      </c>
      <c r="E176" s="2" t="s">
        <v>45</v>
      </c>
      <c r="F176" s="21">
        <v>-3.09</v>
      </c>
      <c r="G176" s="2" t="s">
        <v>56</v>
      </c>
    </row>
    <row r="177" spans="1:7" x14ac:dyDescent="0.3">
      <c r="A177" s="19">
        <v>45413</v>
      </c>
      <c r="B177" s="2" t="s">
        <v>5</v>
      </c>
      <c r="C177" s="2">
        <v>5400</v>
      </c>
      <c r="D177" s="2" t="s">
        <v>49</v>
      </c>
      <c r="E177" s="2" t="s">
        <v>45</v>
      </c>
      <c r="F177" s="21">
        <v>-3.9550000000000001</v>
      </c>
      <c r="G177" s="2" t="s">
        <v>56</v>
      </c>
    </row>
    <row r="178" spans="1:7" x14ac:dyDescent="0.3">
      <c r="A178" s="19">
        <v>45413</v>
      </c>
      <c r="B178" s="2" t="s">
        <v>10</v>
      </c>
      <c r="C178" s="2">
        <v>4000</v>
      </c>
      <c r="D178" s="2" t="s">
        <v>39</v>
      </c>
      <c r="E178" s="2" t="s">
        <v>40</v>
      </c>
      <c r="F178" s="21">
        <v>18.568000000000001</v>
      </c>
      <c r="G178" s="2" t="s">
        <v>56</v>
      </c>
    </row>
    <row r="179" spans="1:7" x14ac:dyDescent="0.3">
      <c r="A179" s="19">
        <v>45413</v>
      </c>
      <c r="B179" s="2" t="s">
        <v>10</v>
      </c>
      <c r="C179" s="2">
        <v>4100</v>
      </c>
      <c r="D179" s="2" t="s">
        <v>42</v>
      </c>
      <c r="E179" s="2" t="s">
        <v>40</v>
      </c>
      <c r="F179" s="21">
        <v>1.98</v>
      </c>
      <c r="G179" s="2" t="s">
        <v>56</v>
      </c>
    </row>
    <row r="180" spans="1:7" x14ac:dyDescent="0.3">
      <c r="A180" s="19">
        <v>45413</v>
      </c>
      <c r="B180" s="2" t="s">
        <v>10</v>
      </c>
      <c r="C180" s="2">
        <v>4200</v>
      </c>
      <c r="D180" s="2" t="s">
        <v>43</v>
      </c>
      <c r="E180" s="2" t="s">
        <v>40</v>
      </c>
      <c r="F180" s="21">
        <v>1.4890000000000001</v>
      </c>
      <c r="G180" s="2" t="s">
        <v>56</v>
      </c>
    </row>
    <row r="181" spans="1:7" x14ac:dyDescent="0.3">
      <c r="A181" s="19">
        <v>45413</v>
      </c>
      <c r="B181" s="2" t="s">
        <v>10</v>
      </c>
      <c r="C181" s="2">
        <v>5000</v>
      </c>
      <c r="D181" s="2" t="s">
        <v>44</v>
      </c>
      <c r="E181" s="2" t="s">
        <v>45</v>
      </c>
      <c r="F181" s="21">
        <v>-9.1739999999999995</v>
      </c>
      <c r="G181" s="2" t="s">
        <v>56</v>
      </c>
    </row>
    <row r="182" spans="1:7" x14ac:dyDescent="0.3">
      <c r="A182" s="19">
        <v>45413</v>
      </c>
      <c r="B182" s="2" t="s">
        <v>10</v>
      </c>
      <c r="C182" s="2">
        <v>5100</v>
      </c>
      <c r="D182" s="2" t="s">
        <v>46</v>
      </c>
      <c r="E182" s="2" t="s">
        <v>45</v>
      </c>
      <c r="F182" s="21">
        <v>-4.008</v>
      </c>
      <c r="G182" s="2" t="s">
        <v>56</v>
      </c>
    </row>
    <row r="183" spans="1:7" x14ac:dyDescent="0.3">
      <c r="A183" s="19">
        <v>45413</v>
      </c>
      <c r="B183" s="2" t="s">
        <v>10</v>
      </c>
      <c r="C183" s="2">
        <v>5200</v>
      </c>
      <c r="D183" s="2" t="s">
        <v>47</v>
      </c>
      <c r="E183" s="2" t="s">
        <v>45</v>
      </c>
      <c r="F183" s="21">
        <v>-2.649</v>
      </c>
      <c r="G183" s="2" t="s">
        <v>56</v>
      </c>
    </row>
    <row r="184" spans="1:7" x14ac:dyDescent="0.3">
      <c r="A184" s="19">
        <v>45413</v>
      </c>
      <c r="B184" s="2" t="s">
        <v>10</v>
      </c>
      <c r="C184" s="2">
        <v>5300</v>
      </c>
      <c r="D184" s="2" t="s">
        <v>48</v>
      </c>
      <c r="E184" s="2" t="s">
        <v>45</v>
      </c>
      <c r="F184" s="21">
        <v>-1.0549999999999999</v>
      </c>
      <c r="G184" s="2" t="s">
        <v>56</v>
      </c>
    </row>
    <row r="185" spans="1:7" x14ac:dyDescent="0.3">
      <c r="A185" s="19">
        <v>45413</v>
      </c>
      <c r="B185" s="2" t="s">
        <v>10</v>
      </c>
      <c r="C185" s="2">
        <v>5400</v>
      </c>
      <c r="D185" s="2" t="s">
        <v>49</v>
      </c>
      <c r="E185" s="2" t="s">
        <v>45</v>
      </c>
      <c r="F185" s="21">
        <v>-1.222</v>
      </c>
      <c r="G185" s="2" t="s">
        <v>56</v>
      </c>
    </row>
    <row r="186" spans="1:7" x14ac:dyDescent="0.3">
      <c r="A186" s="19">
        <v>45413</v>
      </c>
      <c r="B186" s="2" t="s">
        <v>11</v>
      </c>
      <c r="C186" s="2">
        <v>4000</v>
      </c>
      <c r="D186" s="2" t="s">
        <v>39</v>
      </c>
      <c r="E186" s="2" t="s">
        <v>40</v>
      </c>
      <c r="F186" s="21">
        <v>8.4870000000000001</v>
      </c>
      <c r="G186" s="2" t="s">
        <v>56</v>
      </c>
    </row>
    <row r="187" spans="1:7" x14ac:dyDescent="0.3">
      <c r="A187" s="19">
        <v>45413</v>
      </c>
      <c r="B187" s="2" t="s">
        <v>11</v>
      </c>
      <c r="C187" s="2">
        <v>4100</v>
      </c>
      <c r="D187" s="2" t="s">
        <v>42</v>
      </c>
      <c r="E187" s="2" t="s">
        <v>40</v>
      </c>
      <c r="F187" s="21">
        <v>0.504</v>
      </c>
      <c r="G187" s="2" t="s">
        <v>56</v>
      </c>
    </row>
    <row r="188" spans="1:7" x14ac:dyDescent="0.3">
      <c r="A188" s="19">
        <v>45413</v>
      </c>
      <c r="B188" s="2" t="s">
        <v>11</v>
      </c>
      <c r="C188" s="2">
        <v>4200</v>
      </c>
      <c r="D188" s="2" t="s">
        <v>43</v>
      </c>
      <c r="E188" s="2" t="s">
        <v>40</v>
      </c>
      <c r="F188" s="21">
        <v>0.79300000000000004</v>
      </c>
      <c r="G188" s="2" t="s">
        <v>56</v>
      </c>
    </row>
    <row r="189" spans="1:7" x14ac:dyDescent="0.3">
      <c r="A189" s="19">
        <v>45413</v>
      </c>
      <c r="B189" s="2" t="s">
        <v>11</v>
      </c>
      <c r="C189" s="2">
        <v>5000</v>
      </c>
      <c r="D189" s="2" t="s">
        <v>44</v>
      </c>
      <c r="E189" s="2" t="s">
        <v>45</v>
      </c>
      <c r="F189" s="21">
        <v>-3.605</v>
      </c>
      <c r="G189" s="2" t="s">
        <v>56</v>
      </c>
    </row>
    <row r="190" spans="1:7" x14ac:dyDescent="0.3">
      <c r="A190" s="19">
        <v>45413</v>
      </c>
      <c r="B190" s="2" t="s">
        <v>11</v>
      </c>
      <c r="C190" s="2">
        <v>5100</v>
      </c>
      <c r="D190" s="2" t="s">
        <v>46</v>
      </c>
      <c r="E190" s="2" t="s">
        <v>45</v>
      </c>
      <c r="F190" s="21">
        <v>-1.194</v>
      </c>
      <c r="G190" s="2" t="s">
        <v>56</v>
      </c>
    </row>
    <row r="191" spans="1:7" x14ac:dyDescent="0.3">
      <c r="A191" s="19">
        <v>45413</v>
      </c>
      <c r="B191" s="2" t="s">
        <v>11</v>
      </c>
      <c r="C191" s="2">
        <v>5200</v>
      </c>
      <c r="D191" s="2" t="s">
        <v>47</v>
      </c>
      <c r="E191" s="2" t="s">
        <v>45</v>
      </c>
      <c r="F191" s="21">
        <v>-1.0369999999999999</v>
      </c>
      <c r="G191" s="2" t="s">
        <v>56</v>
      </c>
    </row>
    <row r="192" spans="1:7" x14ac:dyDescent="0.3">
      <c r="A192" s="19">
        <v>45413</v>
      </c>
      <c r="B192" s="2" t="s">
        <v>11</v>
      </c>
      <c r="C192" s="2">
        <v>5300</v>
      </c>
      <c r="D192" s="2" t="s">
        <v>48</v>
      </c>
      <c r="E192" s="2" t="s">
        <v>45</v>
      </c>
      <c r="F192" s="21">
        <v>-0.60099999999999998</v>
      </c>
      <c r="G192" s="2" t="s">
        <v>56</v>
      </c>
    </row>
    <row r="193" spans="1:7" x14ac:dyDescent="0.3">
      <c r="A193" s="19">
        <v>45413</v>
      </c>
      <c r="B193" s="2" t="s">
        <v>11</v>
      </c>
      <c r="C193" s="2">
        <v>5400</v>
      </c>
      <c r="D193" s="2" t="s">
        <v>49</v>
      </c>
      <c r="E193" s="2" t="s">
        <v>45</v>
      </c>
      <c r="F193" s="21">
        <v>-0.73499999999999999</v>
      </c>
      <c r="G193" s="2" t="s">
        <v>56</v>
      </c>
    </row>
    <row r="194" spans="1:7" x14ac:dyDescent="0.3">
      <c r="A194" s="19">
        <v>45444</v>
      </c>
      <c r="B194" s="2" t="s">
        <v>5</v>
      </c>
      <c r="C194" s="2">
        <v>4000</v>
      </c>
      <c r="D194" s="2" t="s">
        <v>39</v>
      </c>
      <c r="E194" s="2" t="s">
        <v>40</v>
      </c>
      <c r="F194" s="21">
        <v>97.686999999999998</v>
      </c>
      <c r="G194" s="2" t="s">
        <v>57</v>
      </c>
    </row>
    <row r="195" spans="1:7" x14ac:dyDescent="0.3">
      <c r="A195" s="19">
        <v>45444</v>
      </c>
      <c r="B195" s="2" t="s">
        <v>5</v>
      </c>
      <c r="C195" s="2">
        <v>4100</v>
      </c>
      <c r="D195" s="2" t="s">
        <v>42</v>
      </c>
      <c r="E195" s="2" t="s">
        <v>40</v>
      </c>
      <c r="F195" s="21">
        <v>12.138999999999999</v>
      </c>
      <c r="G195" s="2" t="s">
        <v>57</v>
      </c>
    </row>
    <row r="196" spans="1:7" x14ac:dyDescent="0.3">
      <c r="A196" s="19">
        <v>45444</v>
      </c>
      <c r="B196" s="2" t="s">
        <v>5</v>
      </c>
      <c r="C196" s="2">
        <v>4200</v>
      </c>
      <c r="D196" s="2" t="s">
        <v>43</v>
      </c>
      <c r="E196" s="2" t="s">
        <v>40</v>
      </c>
      <c r="F196" s="21">
        <v>5.2359999999999998</v>
      </c>
      <c r="G196" s="2" t="s">
        <v>57</v>
      </c>
    </row>
    <row r="197" spans="1:7" x14ac:dyDescent="0.3">
      <c r="A197" s="19">
        <v>45444</v>
      </c>
      <c r="B197" s="2" t="s">
        <v>5</v>
      </c>
      <c r="C197" s="2">
        <v>5000</v>
      </c>
      <c r="D197" s="2" t="s">
        <v>44</v>
      </c>
      <c r="E197" s="2" t="s">
        <v>45</v>
      </c>
      <c r="F197" s="21">
        <v>-37.765000000000001</v>
      </c>
      <c r="G197" s="2" t="s">
        <v>57</v>
      </c>
    </row>
    <row r="198" spans="1:7" x14ac:dyDescent="0.3">
      <c r="A198" s="19">
        <v>45444</v>
      </c>
      <c r="B198" s="2" t="s">
        <v>5</v>
      </c>
      <c r="C198" s="2">
        <v>5100</v>
      </c>
      <c r="D198" s="2" t="s">
        <v>46</v>
      </c>
      <c r="E198" s="2" t="s">
        <v>45</v>
      </c>
      <c r="F198" s="21">
        <v>-8.0589999999999993</v>
      </c>
      <c r="G198" s="2" t="s">
        <v>57</v>
      </c>
    </row>
    <row r="199" spans="1:7" x14ac:dyDescent="0.3">
      <c r="A199" s="19">
        <v>45444</v>
      </c>
      <c r="B199" s="2" t="s">
        <v>5</v>
      </c>
      <c r="C199" s="2">
        <v>5200</v>
      </c>
      <c r="D199" s="2" t="s">
        <v>47</v>
      </c>
      <c r="E199" s="2" t="s">
        <v>45</v>
      </c>
      <c r="F199" s="21">
        <v>-6.08</v>
      </c>
      <c r="G199" s="2" t="s">
        <v>57</v>
      </c>
    </row>
    <row r="200" spans="1:7" x14ac:dyDescent="0.3">
      <c r="A200" s="19">
        <v>45444</v>
      </c>
      <c r="B200" s="2" t="s">
        <v>5</v>
      </c>
      <c r="C200" s="2">
        <v>5300</v>
      </c>
      <c r="D200" s="2" t="s">
        <v>48</v>
      </c>
      <c r="E200" s="2" t="s">
        <v>45</v>
      </c>
      <c r="F200" s="21">
        <v>-3.157</v>
      </c>
      <c r="G200" s="2" t="s">
        <v>57</v>
      </c>
    </row>
    <row r="201" spans="1:7" x14ac:dyDescent="0.3">
      <c r="A201" s="19">
        <v>45444</v>
      </c>
      <c r="B201" s="2" t="s">
        <v>5</v>
      </c>
      <c r="C201" s="2">
        <v>5400</v>
      </c>
      <c r="D201" s="2" t="s">
        <v>49</v>
      </c>
      <c r="E201" s="2" t="s">
        <v>45</v>
      </c>
      <c r="F201" s="21">
        <v>-4.1029999999999998</v>
      </c>
      <c r="G201" s="2" t="s">
        <v>57</v>
      </c>
    </row>
    <row r="202" spans="1:7" x14ac:dyDescent="0.3">
      <c r="A202" s="19">
        <v>45444</v>
      </c>
      <c r="B202" s="2" t="s">
        <v>10</v>
      </c>
      <c r="C202" s="2">
        <v>4000</v>
      </c>
      <c r="D202" s="2" t="s">
        <v>39</v>
      </c>
      <c r="E202" s="2" t="s">
        <v>40</v>
      </c>
      <c r="F202" s="21">
        <v>17.751000000000001</v>
      </c>
      <c r="G202" s="2" t="s">
        <v>57</v>
      </c>
    </row>
    <row r="203" spans="1:7" x14ac:dyDescent="0.3">
      <c r="A203" s="19">
        <v>45444</v>
      </c>
      <c r="B203" s="2" t="s">
        <v>10</v>
      </c>
      <c r="C203" s="2">
        <v>4100</v>
      </c>
      <c r="D203" s="2" t="s">
        <v>42</v>
      </c>
      <c r="E203" s="2" t="s">
        <v>40</v>
      </c>
      <c r="F203" s="21">
        <v>1.9850000000000001</v>
      </c>
      <c r="G203" s="2" t="s">
        <v>57</v>
      </c>
    </row>
    <row r="204" spans="1:7" x14ac:dyDescent="0.3">
      <c r="A204" s="19">
        <v>45444</v>
      </c>
      <c r="B204" s="2" t="s">
        <v>10</v>
      </c>
      <c r="C204" s="2">
        <v>4200</v>
      </c>
      <c r="D204" s="2" t="s">
        <v>43</v>
      </c>
      <c r="E204" s="2" t="s">
        <v>40</v>
      </c>
      <c r="F204" s="21">
        <v>1.528</v>
      </c>
      <c r="G204" s="2" t="s">
        <v>57</v>
      </c>
    </row>
    <row r="205" spans="1:7" x14ac:dyDescent="0.3">
      <c r="A205" s="19">
        <v>45444</v>
      </c>
      <c r="B205" s="2" t="s">
        <v>10</v>
      </c>
      <c r="C205" s="2">
        <v>5000</v>
      </c>
      <c r="D205" s="2" t="s">
        <v>44</v>
      </c>
      <c r="E205" s="2" t="s">
        <v>45</v>
      </c>
      <c r="F205" s="21">
        <v>-8.9979999999999993</v>
      </c>
      <c r="G205" s="2" t="s">
        <v>57</v>
      </c>
    </row>
    <row r="206" spans="1:7" x14ac:dyDescent="0.3">
      <c r="A206" s="19">
        <v>45444</v>
      </c>
      <c r="B206" s="2" t="s">
        <v>10</v>
      </c>
      <c r="C206" s="2">
        <v>5100</v>
      </c>
      <c r="D206" s="2" t="s">
        <v>46</v>
      </c>
      <c r="E206" s="2" t="s">
        <v>45</v>
      </c>
      <c r="F206" s="21">
        <v>-4.0490000000000004</v>
      </c>
      <c r="G206" s="2" t="s">
        <v>57</v>
      </c>
    </row>
    <row r="207" spans="1:7" x14ac:dyDescent="0.3">
      <c r="A207" s="19">
        <v>45444</v>
      </c>
      <c r="B207" s="2" t="s">
        <v>10</v>
      </c>
      <c r="C207" s="2">
        <v>5200</v>
      </c>
      <c r="D207" s="2" t="s">
        <v>47</v>
      </c>
      <c r="E207" s="2" t="s">
        <v>45</v>
      </c>
      <c r="F207" s="21">
        <v>-2.552</v>
      </c>
      <c r="G207" s="2" t="s">
        <v>57</v>
      </c>
    </row>
    <row r="208" spans="1:7" x14ac:dyDescent="0.3">
      <c r="A208" s="19">
        <v>45444</v>
      </c>
      <c r="B208" s="2" t="s">
        <v>10</v>
      </c>
      <c r="C208" s="2">
        <v>5300</v>
      </c>
      <c r="D208" s="2" t="s">
        <v>48</v>
      </c>
      <c r="E208" s="2" t="s">
        <v>45</v>
      </c>
      <c r="F208" s="21">
        <v>-1.006</v>
      </c>
      <c r="G208" s="2" t="s">
        <v>57</v>
      </c>
    </row>
    <row r="209" spans="1:7" x14ac:dyDescent="0.3">
      <c r="A209" s="19">
        <v>45444</v>
      </c>
      <c r="B209" s="2" t="s">
        <v>10</v>
      </c>
      <c r="C209" s="2">
        <v>5400</v>
      </c>
      <c r="D209" s="2" t="s">
        <v>49</v>
      </c>
      <c r="E209" s="2" t="s">
        <v>45</v>
      </c>
      <c r="F209" s="21">
        <v>-1.276</v>
      </c>
      <c r="G209" s="2" t="s">
        <v>57</v>
      </c>
    </row>
    <row r="210" spans="1:7" x14ac:dyDescent="0.3">
      <c r="A210" s="19">
        <v>45444</v>
      </c>
      <c r="B210" s="2" t="s">
        <v>11</v>
      </c>
      <c r="C210" s="2">
        <v>4000</v>
      </c>
      <c r="D210" s="2" t="s">
        <v>39</v>
      </c>
      <c r="E210" s="2" t="s">
        <v>40</v>
      </c>
      <c r="F210" s="21">
        <v>7.8730000000000002</v>
      </c>
      <c r="G210" s="2" t="s">
        <v>57</v>
      </c>
    </row>
    <row r="211" spans="1:7" x14ac:dyDescent="0.3">
      <c r="A211" s="19">
        <v>45444</v>
      </c>
      <c r="B211" s="2" t="s">
        <v>11</v>
      </c>
      <c r="C211" s="2">
        <v>4100</v>
      </c>
      <c r="D211" s="2" t="s">
        <v>42</v>
      </c>
      <c r="E211" s="2" t="s">
        <v>40</v>
      </c>
      <c r="F211" s="21">
        <v>0.52</v>
      </c>
      <c r="G211" s="2" t="s">
        <v>57</v>
      </c>
    </row>
    <row r="212" spans="1:7" x14ac:dyDescent="0.3">
      <c r="A212" s="19">
        <v>45444</v>
      </c>
      <c r="B212" s="2" t="s">
        <v>11</v>
      </c>
      <c r="C212" s="2">
        <v>4200</v>
      </c>
      <c r="D212" s="2" t="s">
        <v>43</v>
      </c>
      <c r="E212" s="2" t="s">
        <v>40</v>
      </c>
      <c r="F212" s="21">
        <v>0.81299999999999994</v>
      </c>
      <c r="G212" s="2" t="s">
        <v>57</v>
      </c>
    </row>
    <row r="213" spans="1:7" x14ac:dyDescent="0.3">
      <c r="A213" s="19">
        <v>45444</v>
      </c>
      <c r="B213" s="2" t="s">
        <v>11</v>
      </c>
      <c r="C213" s="2">
        <v>5000</v>
      </c>
      <c r="D213" s="2" t="s">
        <v>44</v>
      </c>
      <c r="E213" s="2" t="s">
        <v>45</v>
      </c>
      <c r="F213" s="21">
        <v>-3.5859999999999999</v>
      </c>
      <c r="G213" s="2" t="s">
        <v>57</v>
      </c>
    </row>
    <row r="214" spans="1:7" x14ac:dyDescent="0.3">
      <c r="A214" s="19">
        <v>45444</v>
      </c>
      <c r="B214" s="2" t="s">
        <v>11</v>
      </c>
      <c r="C214" s="2">
        <v>5100</v>
      </c>
      <c r="D214" s="2" t="s">
        <v>46</v>
      </c>
      <c r="E214" s="2" t="s">
        <v>45</v>
      </c>
      <c r="F214" s="21">
        <v>-1.264</v>
      </c>
      <c r="G214" s="2" t="s">
        <v>57</v>
      </c>
    </row>
    <row r="215" spans="1:7" x14ac:dyDescent="0.3">
      <c r="A215" s="19">
        <v>45444</v>
      </c>
      <c r="B215" s="2" t="s">
        <v>11</v>
      </c>
      <c r="C215" s="2">
        <v>5200</v>
      </c>
      <c r="D215" s="2" t="s">
        <v>47</v>
      </c>
      <c r="E215" s="2" t="s">
        <v>45</v>
      </c>
      <c r="F215" s="21">
        <v>-0.98799999999999999</v>
      </c>
      <c r="G215" s="2" t="s">
        <v>57</v>
      </c>
    </row>
    <row r="216" spans="1:7" x14ac:dyDescent="0.3">
      <c r="A216" s="19">
        <v>45444</v>
      </c>
      <c r="B216" s="2" t="s">
        <v>11</v>
      </c>
      <c r="C216" s="2">
        <v>5300</v>
      </c>
      <c r="D216" s="2" t="s">
        <v>48</v>
      </c>
      <c r="E216" s="2" t="s">
        <v>45</v>
      </c>
      <c r="F216" s="21">
        <v>-0.60699999999999998</v>
      </c>
      <c r="G216" s="2" t="s">
        <v>57</v>
      </c>
    </row>
    <row r="217" spans="1:7" x14ac:dyDescent="0.3">
      <c r="A217" s="19">
        <v>45444</v>
      </c>
      <c r="B217" s="2" t="s">
        <v>11</v>
      </c>
      <c r="C217" s="2">
        <v>5400</v>
      </c>
      <c r="D217" s="2" t="s">
        <v>49</v>
      </c>
      <c r="E217" s="2" t="s">
        <v>45</v>
      </c>
      <c r="F217" s="21">
        <v>-0.69799999999999995</v>
      </c>
      <c r="G217" s="2" t="s">
        <v>57</v>
      </c>
    </row>
    <row r="218" spans="1:7" x14ac:dyDescent="0.3">
      <c r="A218" s="19">
        <v>45474</v>
      </c>
      <c r="B218" s="2" t="s">
        <v>5</v>
      </c>
      <c r="C218" s="2">
        <v>4000</v>
      </c>
      <c r="D218" s="2" t="s">
        <v>39</v>
      </c>
      <c r="E218" s="2" t="s">
        <v>40</v>
      </c>
      <c r="F218" s="21">
        <v>96.346999999999994</v>
      </c>
      <c r="G218" s="2" t="s">
        <v>58</v>
      </c>
    </row>
    <row r="219" spans="1:7" x14ac:dyDescent="0.3">
      <c r="A219" s="19">
        <v>45474</v>
      </c>
      <c r="B219" s="2" t="s">
        <v>5</v>
      </c>
      <c r="C219" s="2">
        <v>4100</v>
      </c>
      <c r="D219" s="2" t="s">
        <v>42</v>
      </c>
      <c r="E219" s="2" t="s">
        <v>40</v>
      </c>
      <c r="F219" s="21">
        <v>12.803000000000001</v>
      </c>
      <c r="G219" s="2" t="s">
        <v>58</v>
      </c>
    </row>
    <row r="220" spans="1:7" x14ac:dyDescent="0.3">
      <c r="A220" s="19">
        <v>45474</v>
      </c>
      <c r="B220" s="2" t="s">
        <v>5</v>
      </c>
      <c r="C220" s="2">
        <v>4200</v>
      </c>
      <c r="D220" s="2" t="s">
        <v>43</v>
      </c>
      <c r="E220" s="2" t="s">
        <v>40</v>
      </c>
      <c r="F220" s="21">
        <v>4.9630000000000001</v>
      </c>
      <c r="G220" s="2" t="s">
        <v>58</v>
      </c>
    </row>
    <row r="221" spans="1:7" x14ac:dyDescent="0.3">
      <c r="A221" s="19">
        <v>45474</v>
      </c>
      <c r="B221" s="2" t="s">
        <v>5</v>
      </c>
      <c r="C221" s="2">
        <v>5000</v>
      </c>
      <c r="D221" s="2" t="s">
        <v>44</v>
      </c>
      <c r="E221" s="2" t="s">
        <v>45</v>
      </c>
      <c r="F221" s="21">
        <v>-39.595999999999997</v>
      </c>
      <c r="G221" s="2" t="s">
        <v>58</v>
      </c>
    </row>
    <row r="222" spans="1:7" x14ac:dyDescent="0.3">
      <c r="A222" s="19">
        <v>45474</v>
      </c>
      <c r="B222" s="2" t="s">
        <v>5</v>
      </c>
      <c r="C222" s="2">
        <v>5100</v>
      </c>
      <c r="D222" s="2" t="s">
        <v>46</v>
      </c>
      <c r="E222" s="2" t="s">
        <v>45</v>
      </c>
      <c r="F222" s="21">
        <v>-8.4169999999999998</v>
      </c>
      <c r="G222" s="2" t="s">
        <v>58</v>
      </c>
    </row>
    <row r="223" spans="1:7" x14ac:dyDescent="0.3">
      <c r="A223" s="19">
        <v>45474</v>
      </c>
      <c r="B223" s="2" t="s">
        <v>5</v>
      </c>
      <c r="C223" s="2">
        <v>5200</v>
      </c>
      <c r="D223" s="2" t="s">
        <v>47</v>
      </c>
      <c r="E223" s="2" t="s">
        <v>45</v>
      </c>
      <c r="F223" s="21">
        <v>-6.4</v>
      </c>
      <c r="G223" s="2" t="s">
        <v>58</v>
      </c>
    </row>
    <row r="224" spans="1:7" x14ac:dyDescent="0.3">
      <c r="A224" s="19">
        <v>45474</v>
      </c>
      <c r="B224" s="2" t="s">
        <v>5</v>
      </c>
      <c r="C224" s="2">
        <v>5300</v>
      </c>
      <c r="D224" s="2" t="s">
        <v>48</v>
      </c>
      <c r="E224" s="2" t="s">
        <v>45</v>
      </c>
      <c r="F224" s="21">
        <v>-3.0790000000000002</v>
      </c>
      <c r="G224" s="2" t="s">
        <v>58</v>
      </c>
    </row>
    <row r="225" spans="1:7" x14ac:dyDescent="0.3">
      <c r="A225" s="19">
        <v>45474</v>
      </c>
      <c r="B225" s="2" t="s">
        <v>5</v>
      </c>
      <c r="C225" s="2">
        <v>5400</v>
      </c>
      <c r="D225" s="2" t="s">
        <v>49</v>
      </c>
      <c r="E225" s="2" t="s">
        <v>45</v>
      </c>
      <c r="F225" s="21">
        <v>-4.0199999999999996</v>
      </c>
      <c r="G225" s="2" t="s">
        <v>58</v>
      </c>
    </row>
    <row r="226" spans="1:7" x14ac:dyDescent="0.3">
      <c r="A226" s="19">
        <v>45474</v>
      </c>
      <c r="B226" s="2" t="s">
        <v>10</v>
      </c>
      <c r="C226" s="2">
        <v>4000</v>
      </c>
      <c r="D226" s="2" t="s">
        <v>39</v>
      </c>
      <c r="E226" s="2" t="s">
        <v>40</v>
      </c>
      <c r="F226" s="21">
        <v>18.189</v>
      </c>
      <c r="G226" s="2" t="s">
        <v>58</v>
      </c>
    </row>
    <row r="227" spans="1:7" x14ac:dyDescent="0.3">
      <c r="A227" s="19">
        <v>45474</v>
      </c>
      <c r="B227" s="2" t="s">
        <v>10</v>
      </c>
      <c r="C227" s="2">
        <v>4100</v>
      </c>
      <c r="D227" s="2" t="s">
        <v>42</v>
      </c>
      <c r="E227" s="2" t="s">
        <v>40</v>
      </c>
      <c r="F227" s="21">
        <v>2.0019999999999998</v>
      </c>
      <c r="G227" s="2" t="s">
        <v>58</v>
      </c>
    </row>
    <row r="228" spans="1:7" x14ac:dyDescent="0.3">
      <c r="A228" s="19">
        <v>45474</v>
      </c>
      <c r="B228" s="2" t="s">
        <v>10</v>
      </c>
      <c r="C228" s="2">
        <v>4200</v>
      </c>
      <c r="D228" s="2" t="s">
        <v>43</v>
      </c>
      <c r="E228" s="2" t="s">
        <v>40</v>
      </c>
      <c r="F228" s="21">
        <v>1.5629999999999999</v>
      </c>
      <c r="G228" s="2" t="s">
        <v>58</v>
      </c>
    </row>
    <row r="229" spans="1:7" x14ac:dyDescent="0.3">
      <c r="A229" s="19">
        <v>45474</v>
      </c>
      <c r="B229" s="2" t="s">
        <v>10</v>
      </c>
      <c r="C229" s="2">
        <v>5000</v>
      </c>
      <c r="D229" s="2" t="s">
        <v>44</v>
      </c>
      <c r="E229" s="2" t="s">
        <v>45</v>
      </c>
      <c r="F229" s="21">
        <v>-9.2029999999999994</v>
      </c>
      <c r="G229" s="2" t="s">
        <v>58</v>
      </c>
    </row>
    <row r="230" spans="1:7" x14ac:dyDescent="0.3">
      <c r="A230" s="19">
        <v>45474</v>
      </c>
      <c r="B230" s="2" t="s">
        <v>10</v>
      </c>
      <c r="C230" s="2">
        <v>5100</v>
      </c>
      <c r="D230" s="2" t="s">
        <v>46</v>
      </c>
      <c r="E230" s="2" t="s">
        <v>45</v>
      </c>
      <c r="F230" s="21">
        <v>-4.0039999999999996</v>
      </c>
      <c r="G230" s="2" t="s">
        <v>58</v>
      </c>
    </row>
    <row r="231" spans="1:7" x14ac:dyDescent="0.3">
      <c r="A231" s="19">
        <v>45474</v>
      </c>
      <c r="B231" s="2" t="s">
        <v>10</v>
      </c>
      <c r="C231" s="2">
        <v>5200</v>
      </c>
      <c r="D231" s="2" t="s">
        <v>47</v>
      </c>
      <c r="E231" s="2" t="s">
        <v>45</v>
      </c>
      <c r="F231" s="21">
        <v>-2.5840000000000001</v>
      </c>
      <c r="G231" s="2" t="s">
        <v>58</v>
      </c>
    </row>
    <row r="232" spans="1:7" x14ac:dyDescent="0.3">
      <c r="A232" s="19">
        <v>45474</v>
      </c>
      <c r="B232" s="2" t="s">
        <v>10</v>
      </c>
      <c r="C232" s="2">
        <v>5300</v>
      </c>
      <c r="D232" s="2" t="s">
        <v>48</v>
      </c>
      <c r="E232" s="2" t="s">
        <v>45</v>
      </c>
      <c r="F232" s="21">
        <v>-1.0549999999999999</v>
      </c>
      <c r="G232" s="2" t="s">
        <v>58</v>
      </c>
    </row>
    <row r="233" spans="1:7" x14ac:dyDescent="0.3">
      <c r="A233" s="19">
        <v>45474</v>
      </c>
      <c r="B233" s="2" t="s">
        <v>10</v>
      </c>
      <c r="C233" s="2">
        <v>5400</v>
      </c>
      <c r="D233" s="2" t="s">
        <v>49</v>
      </c>
      <c r="E233" s="2" t="s">
        <v>45</v>
      </c>
      <c r="F233" s="21">
        <v>-1.272</v>
      </c>
      <c r="G233" s="2" t="s">
        <v>58</v>
      </c>
    </row>
    <row r="234" spans="1:7" x14ac:dyDescent="0.3">
      <c r="A234" s="19">
        <v>45474</v>
      </c>
      <c r="B234" s="2" t="s">
        <v>11</v>
      </c>
      <c r="C234" s="2">
        <v>4000</v>
      </c>
      <c r="D234" s="2" t="s">
        <v>39</v>
      </c>
      <c r="E234" s="2" t="s">
        <v>40</v>
      </c>
      <c r="F234" s="21">
        <v>8.1080000000000005</v>
      </c>
      <c r="G234" s="2" t="s">
        <v>58</v>
      </c>
    </row>
    <row r="235" spans="1:7" x14ac:dyDescent="0.3">
      <c r="A235" s="19">
        <v>45474</v>
      </c>
      <c r="B235" s="2" t="s">
        <v>11</v>
      </c>
      <c r="C235" s="2">
        <v>4100</v>
      </c>
      <c r="D235" s="2" t="s">
        <v>42</v>
      </c>
      <c r="E235" s="2" t="s">
        <v>40</v>
      </c>
      <c r="F235" s="21">
        <v>0.53</v>
      </c>
      <c r="G235" s="2" t="s">
        <v>58</v>
      </c>
    </row>
    <row r="236" spans="1:7" x14ac:dyDescent="0.3">
      <c r="A236" s="19">
        <v>45474</v>
      </c>
      <c r="B236" s="2" t="s">
        <v>11</v>
      </c>
      <c r="C236" s="2">
        <v>4200</v>
      </c>
      <c r="D236" s="2" t="s">
        <v>43</v>
      </c>
      <c r="E236" s="2" t="s">
        <v>40</v>
      </c>
      <c r="F236" s="21">
        <v>0.83799999999999997</v>
      </c>
      <c r="G236" s="2" t="s">
        <v>58</v>
      </c>
    </row>
    <row r="237" spans="1:7" x14ac:dyDescent="0.3">
      <c r="A237" s="19">
        <v>45474</v>
      </c>
      <c r="B237" s="2" t="s">
        <v>11</v>
      </c>
      <c r="C237" s="2">
        <v>5000</v>
      </c>
      <c r="D237" s="2" t="s">
        <v>44</v>
      </c>
      <c r="E237" s="2" t="s">
        <v>45</v>
      </c>
      <c r="F237" s="21">
        <v>-3.556</v>
      </c>
      <c r="G237" s="2" t="s">
        <v>58</v>
      </c>
    </row>
    <row r="238" spans="1:7" x14ac:dyDescent="0.3">
      <c r="A238" s="19">
        <v>45474</v>
      </c>
      <c r="B238" s="2" t="s">
        <v>11</v>
      </c>
      <c r="C238" s="2">
        <v>5100</v>
      </c>
      <c r="D238" s="2" t="s">
        <v>46</v>
      </c>
      <c r="E238" s="2" t="s">
        <v>45</v>
      </c>
      <c r="F238" s="21">
        <v>-1.1870000000000001</v>
      </c>
      <c r="G238" s="2" t="s">
        <v>58</v>
      </c>
    </row>
    <row r="239" spans="1:7" x14ac:dyDescent="0.3">
      <c r="A239" s="19">
        <v>45474</v>
      </c>
      <c r="B239" s="2" t="s">
        <v>11</v>
      </c>
      <c r="C239" s="2">
        <v>5200</v>
      </c>
      <c r="D239" s="2" t="s">
        <v>47</v>
      </c>
      <c r="E239" s="2" t="s">
        <v>45</v>
      </c>
      <c r="F239" s="21">
        <v>-0.999</v>
      </c>
      <c r="G239" s="2" t="s">
        <v>58</v>
      </c>
    </row>
    <row r="240" spans="1:7" x14ac:dyDescent="0.3">
      <c r="A240" s="19">
        <v>45474</v>
      </c>
      <c r="B240" s="2" t="s">
        <v>11</v>
      </c>
      <c r="C240" s="2">
        <v>5300</v>
      </c>
      <c r="D240" s="2" t="s">
        <v>48</v>
      </c>
      <c r="E240" s="2" t="s">
        <v>45</v>
      </c>
      <c r="F240" s="21">
        <v>-0.59599999999999997</v>
      </c>
      <c r="G240" s="2" t="s">
        <v>58</v>
      </c>
    </row>
    <row r="241" spans="1:7" x14ac:dyDescent="0.3">
      <c r="A241" s="19">
        <v>45474</v>
      </c>
      <c r="B241" s="2" t="s">
        <v>11</v>
      </c>
      <c r="C241" s="2">
        <v>5400</v>
      </c>
      <c r="D241" s="2" t="s">
        <v>49</v>
      </c>
      <c r="E241" s="2" t="s">
        <v>45</v>
      </c>
      <c r="F241" s="21">
        <v>-0.72899999999999998</v>
      </c>
      <c r="G241" s="2" t="s">
        <v>58</v>
      </c>
    </row>
    <row r="242" spans="1:7" x14ac:dyDescent="0.3">
      <c r="A242" s="19">
        <v>45505</v>
      </c>
      <c r="B242" s="2" t="s">
        <v>5</v>
      </c>
      <c r="C242" s="2">
        <v>4000</v>
      </c>
      <c r="D242" s="2" t="s">
        <v>39</v>
      </c>
      <c r="E242" s="2" t="s">
        <v>40</v>
      </c>
      <c r="F242" s="21">
        <v>98.188999999999993</v>
      </c>
      <c r="G242" s="2" t="s">
        <v>59</v>
      </c>
    </row>
    <row r="243" spans="1:7" x14ac:dyDescent="0.3">
      <c r="A243" s="19">
        <v>45505</v>
      </c>
      <c r="B243" s="2" t="s">
        <v>5</v>
      </c>
      <c r="C243" s="2">
        <v>4100</v>
      </c>
      <c r="D243" s="2" t="s">
        <v>42</v>
      </c>
      <c r="E243" s="2" t="s">
        <v>40</v>
      </c>
      <c r="F243" s="21">
        <v>12.775</v>
      </c>
      <c r="G243" s="2" t="s">
        <v>59</v>
      </c>
    </row>
    <row r="244" spans="1:7" x14ac:dyDescent="0.3">
      <c r="A244" s="19">
        <v>45505</v>
      </c>
      <c r="B244" s="2" t="s">
        <v>5</v>
      </c>
      <c r="C244" s="2">
        <v>4200</v>
      </c>
      <c r="D244" s="2" t="s">
        <v>43</v>
      </c>
      <c r="E244" s="2" t="s">
        <v>40</v>
      </c>
      <c r="F244" s="21">
        <v>5.0389999999999997</v>
      </c>
      <c r="G244" s="2" t="s">
        <v>59</v>
      </c>
    </row>
    <row r="245" spans="1:7" x14ac:dyDescent="0.3">
      <c r="A245" s="19">
        <v>45505</v>
      </c>
      <c r="B245" s="2" t="s">
        <v>5</v>
      </c>
      <c r="C245" s="2">
        <v>5000</v>
      </c>
      <c r="D245" s="2" t="s">
        <v>44</v>
      </c>
      <c r="E245" s="2" t="s">
        <v>45</v>
      </c>
      <c r="F245" s="21">
        <v>-38.536999999999999</v>
      </c>
      <c r="G245" s="2" t="s">
        <v>59</v>
      </c>
    </row>
    <row r="246" spans="1:7" x14ac:dyDescent="0.3">
      <c r="A246" s="19">
        <v>45505</v>
      </c>
      <c r="B246" s="2" t="s">
        <v>5</v>
      </c>
      <c r="C246" s="2">
        <v>5100</v>
      </c>
      <c r="D246" s="2" t="s">
        <v>46</v>
      </c>
      <c r="E246" s="2" t="s">
        <v>45</v>
      </c>
      <c r="F246" s="21">
        <v>-8.0920000000000005</v>
      </c>
      <c r="G246" s="2" t="s">
        <v>59</v>
      </c>
    </row>
    <row r="247" spans="1:7" x14ac:dyDescent="0.3">
      <c r="A247" s="19">
        <v>45505</v>
      </c>
      <c r="B247" s="2" t="s">
        <v>5</v>
      </c>
      <c r="C247" s="2">
        <v>5200</v>
      </c>
      <c r="D247" s="2" t="s">
        <v>47</v>
      </c>
      <c r="E247" s="2" t="s">
        <v>45</v>
      </c>
      <c r="F247" s="21">
        <v>-5.9889999999999999</v>
      </c>
      <c r="G247" s="2" t="s">
        <v>59</v>
      </c>
    </row>
    <row r="248" spans="1:7" x14ac:dyDescent="0.3">
      <c r="A248" s="19">
        <v>45505</v>
      </c>
      <c r="B248" s="2" t="s">
        <v>5</v>
      </c>
      <c r="C248" s="2">
        <v>5300</v>
      </c>
      <c r="D248" s="2" t="s">
        <v>48</v>
      </c>
      <c r="E248" s="2" t="s">
        <v>45</v>
      </c>
      <c r="F248" s="21">
        <v>-3.1829999999999998</v>
      </c>
      <c r="G248" s="2" t="s">
        <v>59</v>
      </c>
    </row>
    <row r="249" spans="1:7" x14ac:dyDescent="0.3">
      <c r="A249" s="19">
        <v>45505</v>
      </c>
      <c r="B249" s="2" t="s">
        <v>5</v>
      </c>
      <c r="C249" s="2">
        <v>5400</v>
      </c>
      <c r="D249" s="2" t="s">
        <v>49</v>
      </c>
      <c r="E249" s="2" t="s">
        <v>45</v>
      </c>
      <c r="F249" s="21">
        <v>-4.1440000000000001</v>
      </c>
      <c r="G249" s="2" t="s">
        <v>59</v>
      </c>
    </row>
    <row r="250" spans="1:7" x14ac:dyDescent="0.3">
      <c r="A250" s="19">
        <v>45505</v>
      </c>
      <c r="B250" s="2" t="s">
        <v>10</v>
      </c>
      <c r="C250" s="2">
        <v>4000</v>
      </c>
      <c r="D250" s="2" t="s">
        <v>39</v>
      </c>
      <c r="E250" s="2" t="s">
        <v>40</v>
      </c>
      <c r="F250" s="21">
        <v>18.904</v>
      </c>
      <c r="G250" s="2" t="s">
        <v>59</v>
      </c>
    </row>
    <row r="251" spans="1:7" x14ac:dyDescent="0.3">
      <c r="A251" s="19">
        <v>45505</v>
      </c>
      <c r="B251" s="2" t="s">
        <v>10</v>
      </c>
      <c r="C251" s="2">
        <v>4100</v>
      </c>
      <c r="D251" s="2" t="s">
        <v>42</v>
      </c>
      <c r="E251" s="2" t="s">
        <v>40</v>
      </c>
      <c r="F251" s="21">
        <v>2.0870000000000002</v>
      </c>
      <c r="G251" s="2" t="s">
        <v>59</v>
      </c>
    </row>
    <row r="252" spans="1:7" x14ac:dyDescent="0.3">
      <c r="A252" s="19">
        <v>45505</v>
      </c>
      <c r="B252" s="2" t="s">
        <v>10</v>
      </c>
      <c r="C252" s="2">
        <v>4200</v>
      </c>
      <c r="D252" s="2" t="s">
        <v>43</v>
      </c>
      <c r="E252" s="2" t="s">
        <v>40</v>
      </c>
      <c r="F252" s="21">
        <v>1.512</v>
      </c>
      <c r="G252" s="2" t="s">
        <v>59</v>
      </c>
    </row>
    <row r="253" spans="1:7" x14ac:dyDescent="0.3">
      <c r="A253" s="19">
        <v>45505</v>
      </c>
      <c r="B253" s="2" t="s">
        <v>10</v>
      </c>
      <c r="C253" s="2">
        <v>5000</v>
      </c>
      <c r="D253" s="2" t="s">
        <v>44</v>
      </c>
      <c r="E253" s="2" t="s">
        <v>45</v>
      </c>
      <c r="F253" s="21">
        <v>-9.3000000000000007</v>
      </c>
      <c r="G253" s="2" t="s">
        <v>59</v>
      </c>
    </row>
    <row r="254" spans="1:7" x14ac:dyDescent="0.3">
      <c r="A254" s="19">
        <v>45505</v>
      </c>
      <c r="B254" s="2" t="s">
        <v>10</v>
      </c>
      <c r="C254" s="2">
        <v>5100</v>
      </c>
      <c r="D254" s="2" t="s">
        <v>46</v>
      </c>
      <c r="E254" s="2" t="s">
        <v>45</v>
      </c>
      <c r="F254" s="21">
        <v>-3.984</v>
      </c>
      <c r="G254" s="2" t="s">
        <v>59</v>
      </c>
    </row>
    <row r="255" spans="1:7" x14ac:dyDescent="0.3">
      <c r="A255" s="19">
        <v>45505</v>
      </c>
      <c r="B255" s="2" t="s">
        <v>10</v>
      </c>
      <c r="C255" s="2">
        <v>5200</v>
      </c>
      <c r="D255" s="2" t="s">
        <v>47</v>
      </c>
      <c r="E255" s="2" t="s">
        <v>45</v>
      </c>
      <c r="F255" s="21">
        <v>-2.609</v>
      </c>
      <c r="G255" s="2" t="s">
        <v>59</v>
      </c>
    </row>
    <row r="256" spans="1:7" x14ac:dyDescent="0.3">
      <c r="A256" s="19">
        <v>45505</v>
      </c>
      <c r="B256" s="2" t="s">
        <v>10</v>
      </c>
      <c r="C256" s="2">
        <v>5300</v>
      </c>
      <c r="D256" s="2" t="s">
        <v>48</v>
      </c>
      <c r="E256" s="2" t="s">
        <v>45</v>
      </c>
      <c r="F256" s="21">
        <v>-1.0640000000000001</v>
      </c>
      <c r="G256" s="2" t="s">
        <v>59</v>
      </c>
    </row>
    <row r="257" spans="1:7" x14ac:dyDescent="0.3">
      <c r="A257" s="19">
        <v>45505</v>
      </c>
      <c r="B257" s="2" t="s">
        <v>10</v>
      </c>
      <c r="C257" s="2">
        <v>5400</v>
      </c>
      <c r="D257" s="2" t="s">
        <v>49</v>
      </c>
      <c r="E257" s="2" t="s">
        <v>45</v>
      </c>
      <c r="F257" s="21">
        <v>-1.242</v>
      </c>
      <c r="G257" s="2" t="s">
        <v>59</v>
      </c>
    </row>
    <row r="258" spans="1:7" x14ac:dyDescent="0.3">
      <c r="A258" s="19">
        <v>45505</v>
      </c>
      <c r="B258" s="2" t="s">
        <v>11</v>
      </c>
      <c r="C258" s="2">
        <v>4000</v>
      </c>
      <c r="D258" s="2" t="s">
        <v>39</v>
      </c>
      <c r="E258" s="2" t="s">
        <v>40</v>
      </c>
      <c r="F258" s="21">
        <v>8.1010000000000009</v>
      </c>
      <c r="G258" s="2" t="s">
        <v>59</v>
      </c>
    </row>
    <row r="259" spans="1:7" x14ac:dyDescent="0.3">
      <c r="A259" s="19">
        <v>45505</v>
      </c>
      <c r="B259" s="2" t="s">
        <v>11</v>
      </c>
      <c r="C259" s="2">
        <v>4100</v>
      </c>
      <c r="D259" s="2" t="s">
        <v>42</v>
      </c>
      <c r="E259" s="2" t="s">
        <v>40</v>
      </c>
      <c r="F259" s="21">
        <v>0.50600000000000001</v>
      </c>
      <c r="G259" s="2" t="s">
        <v>59</v>
      </c>
    </row>
    <row r="260" spans="1:7" x14ac:dyDescent="0.3">
      <c r="A260" s="19">
        <v>45505</v>
      </c>
      <c r="B260" s="2" t="s">
        <v>11</v>
      </c>
      <c r="C260" s="2">
        <v>4200</v>
      </c>
      <c r="D260" s="2" t="s">
        <v>43</v>
      </c>
      <c r="E260" s="2" t="s">
        <v>40</v>
      </c>
      <c r="F260" s="21">
        <v>0.82499999999999996</v>
      </c>
      <c r="G260" s="2" t="s">
        <v>59</v>
      </c>
    </row>
    <row r="261" spans="1:7" x14ac:dyDescent="0.3">
      <c r="A261" s="19">
        <v>45505</v>
      </c>
      <c r="B261" s="2" t="s">
        <v>11</v>
      </c>
      <c r="C261" s="2">
        <v>5000</v>
      </c>
      <c r="D261" s="2" t="s">
        <v>44</v>
      </c>
      <c r="E261" s="2" t="s">
        <v>45</v>
      </c>
      <c r="F261" s="21">
        <v>-3.6110000000000002</v>
      </c>
      <c r="G261" s="2" t="s">
        <v>59</v>
      </c>
    </row>
    <row r="262" spans="1:7" x14ac:dyDescent="0.3">
      <c r="A262" s="19">
        <v>45505</v>
      </c>
      <c r="B262" s="2" t="s">
        <v>11</v>
      </c>
      <c r="C262" s="2">
        <v>5100</v>
      </c>
      <c r="D262" s="2" t="s">
        <v>46</v>
      </c>
      <c r="E262" s="2" t="s">
        <v>45</v>
      </c>
      <c r="F262" s="21">
        <v>-1.194</v>
      </c>
      <c r="G262" s="2" t="s">
        <v>59</v>
      </c>
    </row>
    <row r="263" spans="1:7" x14ac:dyDescent="0.3">
      <c r="A263" s="19">
        <v>45505</v>
      </c>
      <c r="B263" s="2" t="s">
        <v>11</v>
      </c>
      <c r="C263" s="2">
        <v>5200</v>
      </c>
      <c r="D263" s="2" t="s">
        <v>47</v>
      </c>
      <c r="E263" s="2" t="s">
        <v>45</v>
      </c>
      <c r="F263" s="21">
        <v>-1.0169999999999999</v>
      </c>
      <c r="G263" s="2" t="s">
        <v>59</v>
      </c>
    </row>
    <row r="264" spans="1:7" x14ac:dyDescent="0.3">
      <c r="A264" s="19">
        <v>45505</v>
      </c>
      <c r="B264" s="2" t="s">
        <v>11</v>
      </c>
      <c r="C264" s="2">
        <v>5300</v>
      </c>
      <c r="D264" s="2" t="s">
        <v>48</v>
      </c>
      <c r="E264" s="2" t="s">
        <v>45</v>
      </c>
      <c r="F264" s="21">
        <v>-0.63200000000000001</v>
      </c>
      <c r="G264" s="2" t="s">
        <v>59</v>
      </c>
    </row>
    <row r="265" spans="1:7" x14ac:dyDescent="0.3">
      <c r="A265" s="19">
        <v>45505</v>
      </c>
      <c r="B265" s="2" t="s">
        <v>11</v>
      </c>
      <c r="C265" s="2">
        <v>5400</v>
      </c>
      <c r="D265" s="2" t="s">
        <v>49</v>
      </c>
      <c r="E265" s="2" t="s">
        <v>45</v>
      </c>
      <c r="F265" s="21">
        <v>-0.73199999999999998</v>
      </c>
      <c r="G265" s="2" t="s">
        <v>59</v>
      </c>
    </row>
    <row r="266" spans="1:7" x14ac:dyDescent="0.3">
      <c r="A266" s="19">
        <v>45536</v>
      </c>
      <c r="B266" s="2" t="s">
        <v>5</v>
      </c>
      <c r="C266" s="2">
        <v>4000</v>
      </c>
      <c r="D266" s="2" t="s">
        <v>39</v>
      </c>
      <c r="E266" s="2" t="s">
        <v>40</v>
      </c>
      <c r="F266" s="21">
        <v>98.004000000000005</v>
      </c>
      <c r="G266" s="2" t="s">
        <v>60</v>
      </c>
    </row>
    <row r="267" spans="1:7" x14ac:dyDescent="0.3">
      <c r="A267" s="19">
        <v>45536</v>
      </c>
      <c r="B267" s="2" t="s">
        <v>5</v>
      </c>
      <c r="C267" s="2">
        <v>4100</v>
      </c>
      <c r="D267" s="2" t="s">
        <v>42</v>
      </c>
      <c r="E267" s="2" t="s">
        <v>40</v>
      </c>
      <c r="F267" s="21">
        <v>12.379</v>
      </c>
      <c r="G267" s="2" t="s">
        <v>60</v>
      </c>
    </row>
    <row r="268" spans="1:7" x14ac:dyDescent="0.3">
      <c r="A268" s="19">
        <v>45536</v>
      </c>
      <c r="B268" s="2" t="s">
        <v>5</v>
      </c>
      <c r="C268" s="2">
        <v>4200</v>
      </c>
      <c r="D268" s="2" t="s">
        <v>43</v>
      </c>
      <c r="E268" s="2" t="s">
        <v>40</v>
      </c>
      <c r="F268" s="21">
        <v>5.1920000000000002</v>
      </c>
      <c r="G268" s="2" t="s">
        <v>60</v>
      </c>
    </row>
    <row r="269" spans="1:7" x14ac:dyDescent="0.3">
      <c r="A269" s="19">
        <v>45536</v>
      </c>
      <c r="B269" s="2" t="s">
        <v>5</v>
      </c>
      <c r="C269" s="2">
        <v>5000</v>
      </c>
      <c r="D269" s="2" t="s">
        <v>44</v>
      </c>
      <c r="E269" s="2" t="s">
        <v>45</v>
      </c>
      <c r="F269" s="21">
        <v>-38.752000000000002</v>
      </c>
      <c r="G269" s="2" t="s">
        <v>60</v>
      </c>
    </row>
    <row r="270" spans="1:7" x14ac:dyDescent="0.3">
      <c r="A270" s="19">
        <v>45536</v>
      </c>
      <c r="B270" s="2" t="s">
        <v>5</v>
      </c>
      <c r="C270" s="2">
        <v>5100</v>
      </c>
      <c r="D270" s="2" t="s">
        <v>46</v>
      </c>
      <c r="E270" s="2" t="s">
        <v>45</v>
      </c>
      <c r="F270" s="21">
        <v>-7.9619999999999997</v>
      </c>
      <c r="G270" s="2" t="s">
        <v>60</v>
      </c>
    </row>
    <row r="271" spans="1:7" x14ac:dyDescent="0.3">
      <c r="A271" s="19">
        <v>45536</v>
      </c>
      <c r="B271" s="2" t="s">
        <v>5</v>
      </c>
      <c r="C271" s="2">
        <v>5200</v>
      </c>
      <c r="D271" s="2" t="s">
        <v>47</v>
      </c>
      <c r="E271" s="2" t="s">
        <v>45</v>
      </c>
      <c r="F271" s="21">
        <v>-5.9980000000000002</v>
      </c>
      <c r="G271" s="2" t="s">
        <v>60</v>
      </c>
    </row>
    <row r="272" spans="1:7" x14ac:dyDescent="0.3">
      <c r="A272" s="19">
        <v>45536</v>
      </c>
      <c r="B272" s="2" t="s">
        <v>5</v>
      </c>
      <c r="C272" s="2">
        <v>5300</v>
      </c>
      <c r="D272" s="2" t="s">
        <v>48</v>
      </c>
      <c r="E272" s="2" t="s">
        <v>45</v>
      </c>
      <c r="F272" s="21">
        <v>-3.0579999999999998</v>
      </c>
      <c r="G272" s="2" t="s">
        <v>60</v>
      </c>
    </row>
    <row r="273" spans="1:7" x14ac:dyDescent="0.3">
      <c r="A273" s="19">
        <v>45536</v>
      </c>
      <c r="B273" s="2" t="s">
        <v>5</v>
      </c>
      <c r="C273" s="2">
        <v>5400</v>
      </c>
      <c r="D273" s="2" t="s">
        <v>49</v>
      </c>
      <c r="E273" s="2" t="s">
        <v>45</v>
      </c>
      <c r="F273" s="21">
        <v>-4.2569999999999997</v>
      </c>
      <c r="G273" s="2" t="s">
        <v>60</v>
      </c>
    </row>
    <row r="274" spans="1:7" x14ac:dyDescent="0.3">
      <c r="A274" s="19">
        <v>45536</v>
      </c>
      <c r="B274" s="2" t="s">
        <v>10</v>
      </c>
      <c r="C274" s="2">
        <v>4000</v>
      </c>
      <c r="D274" s="2" t="s">
        <v>39</v>
      </c>
      <c r="E274" s="2" t="s">
        <v>40</v>
      </c>
      <c r="F274" s="21">
        <v>18.905999999999999</v>
      </c>
      <c r="G274" s="2" t="s">
        <v>60</v>
      </c>
    </row>
    <row r="275" spans="1:7" x14ac:dyDescent="0.3">
      <c r="A275" s="19">
        <v>45536</v>
      </c>
      <c r="B275" s="2" t="s">
        <v>10</v>
      </c>
      <c r="C275" s="2">
        <v>4100</v>
      </c>
      <c r="D275" s="2" t="s">
        <v>42</v>
      </c>
      <c r="E275" s="2" t="s">
        <v>40</v>
      </c>
      <c r="F275" s="21">
        <v>2.129</v>
      </c>
      <c r="G275" s="2" t="s">
        <v>60</v>
      </c>
    </row>
    <row r="276" spans="1:7" x14ac:dyDescent="0.3">
      <c r="A276" s="19">
        <v>45536</v>
      </c>
      <c r="B276" s="2" t="s">
        <v>10</v>
      </c>
      <c r="C276" s="2">
        <v>4200</v>
      </c>
      <c r="D276" s="2" t="s">
        <v>43</v>
      </c>
      <c r="E276" s="2" t="s">
        <v>40</v>
      </c>
      <c r="F276" s="21">
        <v>1.538</v>
      </c>
      <c r="G276" s="2" t="s">
        <v>60</v>
      </c>
    </row>
    <row r="277" spans="1:7" x14ac:dyDescent="0.3">
      <c r="A277" s="19">
        <v>45536</v>
      </c>
      <c r="B277" s="2" t="s">
        <v>10</v>
      </c>
      <c r="C277" s="2">
        <v>5000</v>
      </c>
      <c r="D277" s="2" t="s">
        <v>44</v>
      </c>
      <c r="E277" s="2" t="s">
        <v>45</v>
      </c>
      <c r="F277" s="21">
        <v>-9.5350000000000001</v>
      </c>
      <c r="G277" s="2" t="s">
        <v>60</v>
      </c>
    </row>
    <row r="278" spans="1:7" x14ac:dyDescent="0.3">
      <c r="A278" s="19">
        <v>45536</v>
      </c>
      <c r="B278" s="2" t="s">
        <v>10</v>
      </c>
      <c r="C278" s="2">
        <v>5100</v>
      </c>
      <c r="D278" s="2" t="s">
        <v>46</v>
      </c>
      <c r="E278" s="2" t="s">
        <v>45</v>
      </c>
      <c r="F278" s="21">
        <v>-4.0979999999999999</v>
      </c>
      <c r="G278" s="2" t="s">
        <v>60</v>
      </c>
    </row>
    <row r="279" spans="1:7" x14ac:dyDescent="0.3">
      <c r="A279" s="19">
        <v>45536</v>
      </c>
      <c r="B279" s="2" t="s">
        <v>10</v>
      </c>
      <c r="C279" s="2">
        <v>5200</v>
      </c>
      <c r="D279" s="2" t="s">
        <v>47</v>
      </c>
      <c r="E279" s="2" t="s">
        <v>45</v>
      </c>
      <c r="F279" s="21">
        <v>-2.488</v>
      </c>
      <c r="G279" s="2" t="s">
        <v>60</v>
      </c>
    </row>
    <row r="280" spans="1:7" x14ac:dyDescent="0.3">
      <c r="A280" s="19">
        <v>45536</v>
      </c>
      <c r="B280" s="2" t="s">
        <v>10</v>
      </c>
      <c r="C280" s="2">
        <v>5300</v>
      </c>
      <c r="D280" s="2" t="s">
        <v>48</v>
      </c>
      <c r="E280" s="2" t="s">
        <v>45</v>
      </c>
      <c r="F280" s="21">
        <v>-1.0609999999999999</v>
      </c>
      <c r="G280" s="2" t="s">
        <v>60</v>
      </c>
    </row>
    <row r="281" spans="1:7" x14ac:dyDescent="0.3">
      <c r="A281" s="19">
        <v>45536</v>
      </c>
      <c r="B281" s="2" t="s">
        <v>10</v>
      </c>
      <c r="C281" s="2">
        <v>5400</v>
      </c>
      <c r="D281" s="2" t="s">
        <v>49</v>
      </c>
      <c r="E281" s="2" t="s">
        <v>45</v>
      </c>
      <c r="F281" s="21">
        <v>-1.22</v>
      </c>
      <c r="G281" s="2" t="s">
        <v>60</v>
      </c>
    </row>
    <row r="282" spans="1:7" x14ac:dyDescent="0.3">
      <c r="A282" s="19">
        <v>45536</v>
      </c>
      <c r="B282" s="2" t="s">
        <v>11</v>
      </c>
      <c r="C282" s="2">
        <v>4000</v>
      </c>
      <c r="D282" s="2" t="s">
        <v>39</v>
      </c>
      <c r="E282" s="2" t="s">
        <v>40</v>
      </c>
      <c r="F282" s="21">
        <v>8.0679999999999996</v>
      </c>
      <c r="G282" s="2" t="s">
        <v>60</v>
      </c>
    </row>
    <row r="283" spans="1:7" x14ac:dyDescent="0.3">
      <c r="A283" s="19">
        <v>45536</v>
      </c>
      <c r="B283" s="2" t="s">
        <v>11</v>
      </c>
      <c r="C283" s="2">
        <v>4100</v>
      </c>
      <c r="D283" s="2" t="s">
        <v>42</v>
      </c>
      <c r="E283" s="2" t="s">
        <v>40</v>
      </c>
      <c r="F283" s="21">
        <v>0.504</v>
      </c>
      <c r="G283" s="2" t="s">
        <v>60</v>
      </c>
    </row>
    <row r="284" spans="1:7" x14ac:dyDescent="0.3">
      <c r="A284" s="19">
        <v>45536</v>
      </c>
      <c r="B284" s="2" t="s">
        <v>11</v>
      </c>
      <c r="C284" s="2">
        <v>4200</v>
      </c>
      <c r="D284" s="2" t="s">
        <v>43</v>
      </c>
      <c r="E284" s="2" t="s">
        <v>40</v>
      </c>
      <c r="F284" s="21">
        <v>0.79400000000000004</v>
      </c>
      <c r="G284" s="2" t="s">
        <v>60</v>
      </c>
    </row>
    <row r="285" spans="1:7" x14ac:dyDescent="0.3">
      <c r="A285" s="19">
        <v>45536</v>
      </c>
      <c r="B285" s="2" t="s">
        <v>11</v>
      </c>
      <c r="C285" s="2">
        <v>5000</v>
      </c>
      <c r="D285" s="2" t="s">
        <v>44</v>
      </c>
      <c r="E285" s="2" t="s">
        <v>45</v>
      </c>
      <c r="F285" s="21">
        <v>-3.56</v>
      </c>
      <c r="G285" s="2" t="s">
        <v>60</v>
      </c>
    </row>
    <row r="286" spans="1:7" x14ac:dyDescent="0.3">
      <c r="A286" s="19">
        <v>45536</v>
      </c>
      <c r="B286" s="2" t="s">
        <v>11</v>
      </c>
      <c r="C286" s="2">
        <v>5100</v>
      </c>
      <c r="D286" s="2" t="s">
        <v>46</v>
      </c>
      <c r="E286" s="2" t="s">
        <v>45</v>
      </c>
      <c r="F286" s="21">
        <v>-1.22</v>
      </c>
      <c r="G286" s="2" t="s">
        <v>60</v>
      </c>
    </row>
    <row r="287" spans="1:7" x14ac:dyDescent="0.3">
      <c r="A287" s="19">
        <v>45536</v>
      </c>
      <c r="B287" s="2" t="s">
        <v>11</v>
      </c>
      <c r="C287" s="2">
        <v>5200</v>
      </c>
      <c r="D287" s="2" t="s">
        <v>47</v>
      </c>
      <c r="E287" s="2" t="s">
        <v>45</v>
      </c>
      <c r="F287" s="21">
        <v>-1.069</v>
      </c>
      <c r="G287" s="2" t="s">
        <v>60</v>
      </c>
    </row>
    <row r="288" spans="1:7" x14ac:dyDescent="0.3">
      <c r="A288" s="19">
        <v>45536</v>
      </c>
      <c r="B288" s="2" t="s">
        <v>11</v>
      </c>
      <c r="C288" s="2">
        <v>5300</v>
      </c>
      <c r="D288" s="2" t="s">
        <v>48</v>
      </c>
      <c r="E288" s="2" t="s">
        <v>45</v>
      </c>
      <c r="F288" s="21">
        <v>-0.63300000000000001</v>
      </c>
      <c r="G288" s="2" t="s">
        <v>60</v>
      </c>
    </row>
    <row r="289" spans="1:7" x14ac:dyDescent="0.3">
      <c r="A289" s="19">
        <v>45536</v>
      </c>
      <c r="B289" s="2" t="s">
        <v>11</v>
      </c>
      <c r="C289" s="2">
        <v>5400</v>
      </c>
      <c r="D289" s="2" t="s">
        <v>49</v>
      </c>
      <c r="E289" s="2" t="s">
        <v>45</v>
      </c>
      <c r="F289" s="21">
        <v>-0.72699999999999998</v>
      </c>
      <c r="G289" s="2" t="s">
        <v>60</v>
      </c>
    </row>
    <row r="290" spans="1:7" x14ac:dyDescent="0.3">
      <c r="A290" s="19">
        <v>45566</v>
      </c>
      <c r="B290" s="2" t="s">
        <v>5</v>
      </c>
      <c r="C290" s="2">
        <v>4000</v>
      </c>
      <c r="D290" s="2" t="s">
        <v>39</v>
      </c>
      <c r="E290" s="2" t="s">
        <v>40</v>
      </c>
      <c r="F290" s="21">
        <v>98.400999999999996</v>
      </c>
      <c r="G290" s="2" t="s">
        <v>61</v>
      </c>
    </row>
    <row r="291" spans="1:7" x14ac:dyDescent="0.3">
      <c r="A291" s="19">
        <v>45566</v>
      </c>
      <c r="B291" s="2" t="s">
        <v>5</v>
      </c>
      <c r="C291" s="2">
        <v>4100</v>
      </c>
      <c r="D291" s="2" t="s">
        <v>42</v>
      </c>
      <c r="E291" s="2" t="s">
        <v>40</v>
      </c>
      <c r="F291" s="21">
        <v>11.944000000000001</v>
      </c>
      <c r="G291" s="2" t="s">
        <v>61</v>
      </c>
    </row>
    <row r="292" spans="1:7" x14ac:dyDescent="0.3">
      <c r="A292" s="19">
        <v>45566</v>
      </c>
      <c r="B292" s="2" t="s">
        <v>5</v>
      </c>
      <c r="C292" s="2">
        <v>4200</v>
      </c>
      <c r="D292" s="2" t="s">
        <v>43</v>
      </c>
      <c r="E292" s="2" t="s">
        <v>40</v>
      </c>
      <c r="F292" s="21">
        <v>5.1470000000000002</v>
      </c>
      <c r="G292" s="2" t="s">
        <v>61</v>
      </c>
    </row>
    <row r="293" spans="1:7" x14ac:dyDescent="0.3">
      <c r="A293" s="19">
        <v>45566</v>
      </c>
      <c r="B293" s="2" t="s">
        <v>5</v>
      </c>
      <c r="C293" s="2">
        <v>5000</v>
      </c>
      <c r="D293" s="2" t="s">
        <v>44</v>
      </c>
      <c r="E293" s="2" t="s">
        <v>45</v>
      </c>
      <c r="F293" s="21">
        <v>-38.151000000000003</v>
      </c>
      <c r="G293" s="2" t="s">
        <v>61</v>
      </c>
    </row>
    <row r="294" spans="1:7" x14ac:dyDescent="0.3">
      <c r="A294" s="19">
        <v>45566</v>
      </c>
      <c r="B294" s="2" t="s">
        <v>5</v>
      </c>
      <c r="C294" s="2">
        <v>5100</v>
      </c>
      <c r="D294" s="2" t="s">
        <v>46</v>
      </c>
      <c r="E294" s="2" t="s">
        <v>45</v>
      </c>
      <c r="F294" s="21">
        <v>-8.2479999999999993</v>
      </c>
      <c r="G294" s="2" t="s">
        <v>61</v>
      </c>
    </row>
    <row r="295" spans="1:7" x14ac:dyDescent="0.3">
      <c r="A295" s="19">
        <v>45566</v>
      </c>
      <c r="B295" s="2" t="s">
        <v>5</v>
      </c>
      <c r="C295" s="2">
        <v>5200</v>
      </c>
      <c r="D295" s="2" t="s">
        <v>47</v>
      </c>
      <c r="E295" s="2" t="s">
        <v>45</v>
      </c>
      <c r="F295" s="21">
        <v>-6.1</v>
      </c>
      <c r="G295" s="2" t="s">
        <v>61</v>
      </c>
    </row>
    <row r="296" spans="1:7" x14ac:dyDescent="0.3">
      <c r="A296" s="19">
        <v>45566</v>
      </c>
      <c r="B296" s="2" t="s">
        <v>5</v>
      </c>
      <c r="C296" s="2">
        <v>5300</v>
      </c>
      <c r="D296" s="2" t="s">
        <v>48</v>
      </c>
      <c r="E296" s="2" t="s">
        <v>45</v>
      </c>
      <c r="F296" s="21">
        <v>-3.0329999999999999</v>
      </c>
      <c r="G296" s="2" t="s">
        <v>61</v>
      </c>
    </row>
    <row r="297" spans="1:7" x14ac:dyDescent="0.3">
      <c r="A297" s="19">
        <v>45566</v>
      </c>
      <c r="B297" s="2" t="s">
        <v>5</v>
      </c>
      <c r="C297" s="2">
        <v>5400</v>
      </c>
      <c r="D297" s="2" t="s">
        <v>49</v>
      </c>
      <c r="E297" s="2" t="s">
        <v>45</v>
      </c>
      <c r="F297" s="21">
        <v>-4.1369999999999996</v>
      </c>
      <c r="G297" s="2" t="s">
        <v>61</v>
      </c>
    </row>
    <row r="298" spans="1:7" x14ac:dyDescent="0.3">
      <c r="A298" s="19">
        <v>45566</v>
      </c>
      <c r="B298" s="2" t="s">
        <v>10</v>
      </c>
      <c r="C298" s="2">
        <v>4000</v>
      </c>
      <c r="D298" s="2" t="s">
        <v>39</v>
      </c>
      <c r="E298" s="2" t="s">
        <v>40</v>
      </c>
      <c r="F298" s="21">
        <v>18.687999999999999</v>
      </c>
      <c r="G298" s="2" t="s">
        <v>61</v>
      </c>
    </row>
    <row r="299" spans="1:7" x14ac:dyDescent="0.3">
      <c r="A299" s="19">
        <v>45566</v>
      </c>
      <c r="B299" s="2" t="s">
        <v>10</v>
      </c>
      <c r="C299" s="2">
        <v>4100</v>
      </c>
      <c r="D299" s="2" t="s">
        <v>42</v>
      </c>
      <c r="E299" s="2" t="s">
        <v>40</v>
      </c>
      <c r="F299" s="21">
        <v>2.0179999999999998</v>
      </c>
      <c r="G299" s="2" t="s">
        <v>61</v>
      </c>
    </row>
    <row r="300" spans="1:7" x14ac:dyDescent="0.3">
      <c r="A300" s="19">
        <v>45566</v>
      </c>
      <c r="B300" s="2" t="s">
        <v>10</v>
      </c>
      <c r="C300" s="2">
        <v>4200</v>
      </c>
      <c r="D300" s="2" t="s">
        <v>43</v>
      </c>
      <c r="E300" s="2" t="s">
        <v>40</v>
      </c>
      <c r="F300" s="21">
        <v>1.5589999999999999</v>
      </c>
      <c r="G300" s="2" t="s">
        <v>61</v>
      </c>
    </row>
    <row r="301" spans="1:7" x14ac:dyDescent="0.3">
      <c r="A301" s="19">
        <v>45566</v>
      </c>
      <c r="B301" s="2" t="s">
        <v>10</v>
      </c>
      <c r="C301" s="2">
        <v>5000</v>
      </c>
      <c r="D301" s="2" t="s">
        <v>44</v>
      </c>
      <c r="E301" s="2" t="s">
        <v>45</v>
      </c>
      <c r="F301" s="21">
        <v>-9.4120000000000008</v>
      </c>
      <c r="G301" s="2" t="s">
        <v>61</v>
      </c>
    </row>
    <row r="302" spans="1:7" x14ac:dyDescent="0.3">
      <c r="A302" s="19">
        <v>45566</v>
      </c>
      <c r="B302" s="2" t="s">
        <v>10</v>
      </c>
      <c r="C302" s="2">
        <v>5100</v>
      </c>
      <c r="D302" s="2" t="s">
        <v>46</v>
      </c>
      <c r="E302" s="2" t="s">
        <v>45</v>
      </c>
      <c r="F302" s="21">
        <v>-4.1269999999999998</v>
      </c>
      <c r="G302" s="2" t="s">
        <v>61</v>
      </c>
    </row>
    <row r="303" spans="1:7" x14ac:dyDescent="0.3">
      <c r="A303" s="19">
        <v>45566</v>
      </c>
      <c r="B303" s="2" t="s">
        <v>10</v>
      </c>
      <c r="C303" s="2">
        <v>5200</v>
      </c>
      <c r="D303" s="2" t="s">
        <v>47</v>
      </c>
      <c r="E303" s="2" t="s">
        <v>45</v>
      </c>
      <c r="F303" s="21">
        <v>-2.4969999999999999</v>
      </c>
      <c r="G303" s="2" t="s">
        <v>61</v>
      </c>
    </row>
    <row r="304" spans="1:7" x14ac:dyDescent="0.3">
      <c r="A304" s="19">
        <v>45566</v>
      </c>
      <c r="B304" s="2" t="s">
        <v>10</v>
      </c>
      <c r="C304" s="2">
        <v>5300</v>
      </c>
      <c r="D304" s="2" t="s">
        <v>48</v>
      </c>
      <c r="E304" s="2" t="s">
        <v>45</v>
      </c>
      <c r="F304" s="21">
        <v>-1.0740000000000001</v>
      </c>
      <c r="G304" s="2" t="s">
        <v>61</v>
      </c>
    </row>
    <row r="305" spans="1:7" x14ac:dyDescent="0.3">
      <c r="A305" s="19">
        <v>45566</v>
      </c>
      <c r="B305" s="2" t="s">
        <v>10</v>
      </c>
      <c r="C305" s="2">
        <v>5400</v>
      </c>
      <c r="D305" s="2" t="s">
        <v>49</v>
      </c>
      <c r="E305" s="2" t="s">
        <v>45</v>
      </c>
      <c r="F305" s="21">
        <v>-1.238</v>
      </c>
      <c r="G305" s="2" t="s">
        <v>61</v>
      </c>
    </row>
    <row r="306" spans="1:7" x14ac:dyDescent="0.3">
      <c r="A306" s="19">
        <v>45566</v>
      </c>
      <c r="B306" s="2" t="s">
        <v>11</v>
      </c>
      <c r="C306" s="2">
        <v>4000</v>
      </c>
      <c r="D306" s="2" t="s">
        <v>39</v>
      </c>
      <c r="E306" s="2" t="s">
        <v>40</v>
      </c>
      <c r="F306" s="21">
        <v>8.2319999999999993</v>
      </c>
      <c r="G306" s="2" t="s">
        <v>61</v>
      </c>
    </row>
    <row r="307" spans="1:7" x14ac:dyDescent="0.3">
      <c r="A307" s="19">
        <v>45566</v>
      </c>
      <c r="B307" s="2" t="s">
        <v>11</v>
      </c>
      <c r="C307" s="2">
        <v>4100</v>
      </c>
      <c r="D307" s="2" t="s">
        <v>42</v>
      </c>
      <c r="E307" s="2" t="s">
        <v>40</v>
      </c>
      <c r="F307" s="21">
        <v>0.53700000000000003</v>
      </c>
      <c r="G307" s="2" t="s">
        <v>61</v>
      </c>
    </row>
    <row r="308" spans="1:7" x14ac:dyDescent="0.3">
      <c r="A308" s="19">
        <v>45566</v>
      </c>
      <c r="B308" s="2" t="s">
        <v>11</v>
      </c>
      <c r="C308" s="2">
        <v>4200</v>
      </c>
      <c r="D308" s="2" t="s">
        <v>43</v>
      </c>
      <c r="E308" s="2" t="s">
        <v>40</v>
      </c>
      <c r="F308" s="21">
        <v>0.83399999999999996</v>
      </c>
      <c r="G308" s="2" t="s">
        <v>61</v>
      </c>
    </row>
    <row r="309" spans="1:7" x14ac:dyDescent="0.3">
      <c r="A309" s="19">
        <v>45566</v>
      </c>
      <c r="B309" s="2" t="s">
        <v>11</v>
      </c>
      <c r="C309" s="2">
        <v>5000</v>
      </c>
      <c r="D309" s="2" t="s">
        <v>44</v>
      </c>
      <c r="E309" s="2" t="s">
        <v>45</v>
      </c>
      <c r="F309" s="21">
        <v>-3.4969999999999999</v>
      </c>
      <c r="G309" s="2" t="s">
        <v>61</v>
      </c>
    </row>
    <row r="310" spans="1:7" x14ac:dyDescent="0.3">
      <c r="A310" s="19">
        <v>45566</v>
      </c>
      <c r="B310" s="2" t="s">
        <v>11</v>
      </c>
      <c r="C310" s="2">
        <v>5100</v>
      </c>
      <c r="D310" s="2" t="s">
        <v>46</v>
      </c>
      <c r="E310" s="2" t="s">
        <v>45</v>
      </c>
      <c r="F310" s="21">
        <v>-1.198</v>
      </c>
      <c r="G310" s="2" t="s">
        <v>61</v>
      </c>
    </row>
    <row r="311" spans="1:7" x14ac:dyDescent="0.3">
      <c r="A311" s="19">
        <v>45566</v>
      </c>
      <c r="B311" s="2" t="s">
        <v>11</v>
      </c>
      <c r="C311" s="2">
        <v>5200</v>
      </c>
      <c r="D311" s="2" t="s">
        <v>47</v>
      </c>
      <c r="E311" s="2" t="s">
        <v>45</v>
      </c>
      <c r="F311" s="21">
        <v>-1.016</v>
      </c>
      <c r="G311" s="2" t="s">
        <v>61</v>
      </c>
    </row>
    <row r="312" spans="1:7" x14ac:dyDescent="0.3">
      <c r="A312" s="19">
        <v>45566</v>
      </c>
      <c r="B312" s="2" t="s">
        <v>11</v>
      </c>
      <c r="C312" s="2">
        <v>5300</v>
      </c>
      <c r="D312" s="2" t="s">
        <v>48</v>
      </c>
      <c r="E312" s="2" t="s">
        <v>45</v>
      </c>
      <c r="F312" s="21">
        <v>-0.61599999999999999</v>
      </c>
      <c r="G312" s="2" t="s">
        <v>61</v>
      </c>
    </row>
    <row r="313" spans="1:7" x14ac:dyDescent="0.3">
      <c r="A313" s="19">
        <v>45566</v>
      </c>
      <c r="B313" s="2" t="s">
        <v>11</v>
      </c>
      <c r="C313" s="2">
        <v>5400</v>
      </c>
      <c r="D313" s="2" t="s">
        <v>49</v>
      </c>
      <c r="E313" s="2" t="s">
        <v>45</v>
      </c>
      <c r="F313" s="21">
        <v>-0.73299999999999998</v>
      </c>
      <c r="G313" s="2" t="s">
        <v>61</v>
      </c>
    </row>
    <row r="314" spans="1:7" x14ac:dyDescent="0.3">
      <c r="A314" s="19">
        <v>45597</v>
      </c>
      <c r="B314" s="2" t="s">
        <v>5</v>
      </c>
      <c r="C314" s="2">
        <v>4000</v>
      </c>
      <c r="D314" s="2" t="s">
        <v>39</v>
      </c>
      <c r="E314" s="2" t="s">
        <v>40</v>
      </c>
      <c r="F314" s="21">
        <v>102.01900000000001</v>
      </c>
      <c r="G314" s="2" t="s">
        <v>62</v>
      </c>
    </row>
    <row r="315" spans="1:7" x14ac:dyDescent="0.3">
      <c r="A315" s="19">
        <v>45597</v>
      </c>
      <c r="B315" s="2" t="s">
        <v>5</v>
      </c>
      <c r="C315" s="2">
        <v>4100</v>
      </c>
      <c r="D315" s="2" t="s">
        <v>42</v>
      </c>
      <c r="E315" s="2" t="s">
        <v>40</v>
      </c>
      <c r="F315" s="21">
        <v>12.8</v>
      </c>
      <c r="G315" s="2" t="s">
        <v>62</v>
      </c>
    </row>
    <row r="316" spans="1:7" x14ac:dyDescent="0.3">
      <c r="A316" s="19">
        <v>45597</v>
      </c>
      <c r="B316" s="2" t="s">
        <v>5</v>
      </c>
      <c r="C316" s="2">
        <v>4200</v>
      </c>
      <c r="D316" s="2" t="s">
        <v>43</v>
      </c>
      <c r="E316" s="2" t="s">
        <v>40</v>
      </c>
      <c r="F316" s="21">
        <v>5.0389999999999997</v>
      </c>
      <c r="G316" s="2" t="s">
        <v>62</v>
      </c>
    </row>
    <row r="317" spans="1:7" x14ac:dyDescent="0.3">
      <c r="A317" s="19">
        <v>45597</v>
      </c>
      <c r="B317" s="2" t="s">
        <v>5</v>
      </c>
      <c r="C317" s="2">
        <v>5000</v>
      </c>
      <c r="D317" s="2" t="s">
        <v>44</v>
      </c>
      <c r="E317" s="2" t="s">
        <v>45</v>
      </c>
      <c r="F317" s="21">
        <v>-40.941000000000003</v>
      </c>
      <c r="G317" s="2" t="s">
        <v>62</v>
      </c>
    </row>
    <row r="318" spans="1:7" x14ac:dyDescent="0.3">
      <c r="A318" s="19">
        <v>45597</v>
      </c>
      <c r="B318" s="2" t="s">
        <v>5</v>
      </c>
      <c r="C318" s="2">
        <v>5100</v>
      </c>
      <c r="D318" s="2" t="s">
        <v>46</v>
      </c>
      <c r="E318" s="2" t="s">
        <v>45</v>
      </c>
      <c r="F318" s="21">
        <v>-8.5120000000000005</v>
      </c>
      <c r="G318" s="2" t="s">
        <v>62</v>
      </c>
    </row>
    <row r="319" spans="1:7" x14ac:dyDescent="0.3">
      <c r="A319" s="19">
        <v>45597</v>
      </c>
      <c r="B319" s="2" t="s">
        <v>5</v>
      </c>
      <c r="C319" s="2">
        <v>5200</v>
      </c>
      <c r="D319" s="2" t="s">
        <v>47</v>
      </c>
      <c r="E319" s="2" t="s">
        <v>45</v>
      </c>
      <c r="F319" s="21">
        <v>-6.46</v>
      </c>
      <c r="G319" s="2" t="s">
        <v>62</v>
      </c>
    </row>
    <row r="320" spans="1:7" x14ac:dyDescent="0.3">
      <c r="A320" s="19">
        <v>45597</v>
      </c>
      <c r="B320" s="2" t="s">
        <v>5</v>
      </c>
      <c r="C320" s="2">
        <v>5300</v>
      </c>
      <c r="D320" s="2" t="s">
        <v>48</v>
      </c>
      <c r="E320" s="2" t="s">
        <v>45</v>
      </c>
      <c r="F320" s="21">
        <v>-3.194</v>
      </c>
      <c r="G320" s="2" t="s">
        <v>62</v>
      </c>
    </row>
    <row r="321" spans="1:7" x14ac:dyDescent="0.3">
      <c r="A321" s="19">
        <v>45597</v>
      </c>
      <c r="B321" s="2" t="s">
        <v>5</v>
      </c>
      <c r="C321" s="2">
        <v>5400</v>
      </c>
      <c r="D321" s="2" t="s">
        <v>49</v>
      </c>
      <c r="E321" s="2" t="s">
        <v>45</v>
      </c>
      <c r="F321" s="21">
        <v>-4.226</v>
      </c>
      <c r="G321" s="2" t="s">
        <v>62</v>
      </c>
    </row>
    <row r="322" spans="1:7" x14ac:dyDescent="0.3">
      <c r="A322" s="19">
        <v>45597</v>
      </c>
      <c r="B322" s="2" t="s">
        <v>10</v>
      </c>
      <c r="C322" s="2">
        <v>4000</v>
      </c>
      <c r="D322" s="2" t="s">
        <v>39</v>
      </c>
      <c r="E322" s="2" t="s">
        <v>40</v>
      </c>
      <c r="F322" s="21">
        <v>18.745000000000001</v>
      </c>
      <c r="G322" s="2" t="s">
        <v>62</v>
      </c>
    </row>
    <row r="323" spans="1:7" x14ac:dyDescent="0.3">
      <c r="A323" s="19">
        <v>45597</v>
      </c>
      <c r="B323" s="2" t="s">
        <v>10</v>
      </c>
      <c r="C323" s="2">
        <v>4100</v>
      </c>
      <c r="D323" s="2" t="s">
        <v>42</v>
      </c>
      <c r="E323" s="2" t="s">
        <v>40</v>
      </c>
      <c r="F323" s="21">
        <v>2.14</v>
      </c>
      <c r="G323" s="2" t="s">
        <v>62</v>
      </c>
    </row>
    <row r="324" spans="1:7" x14ac:dyDescent="0.3">
      <c r="A324" s="19">
        <v>45597</v>
      </c>
      <c r="B324" s="2" t="s">
        <v>10</v>
      </c>
      <c r="C324" s="2">
        <v>4200</v>
      </c>
      <c r="D324" s="2" t="s">
        <v>43</v>
      </c>
      <c r="E324" s="2" t="s">
        <v>40</v>
      </c>
      <c r="F324" s="21">
        <v>1.6180000000000001</v>
      </c>
      <c r="G324" s="2" t="s">
        <v>62</v>
      </c>
    </row>
    <row r="325" spans="1:7" x14ac:dyDescent="0.3">
      <c r="A325" s="19">
        <v>45597</v>
      </c>
      <c r="B325" s="2" t="s">
        <v>10</v>
      </c>
      <c r="C325" s="2">
        <v>5000</v>
      </c>
      <c r="D325" s="2" t="s">
        <v>44</v>
      </c>
      <c r="E325" s="2" t="s">
        <v>45</v>
      </c>
      <c r="F325" s="21">
        <v>-9.1780000000000008</v>
      </c>
      <c r="G325" s="2" t="s">
        <v>62</v>
      </c>
    </row>
    <row r="326" spans="1:7" x14ac:dyDescent="0.3">
      <c r="A326" s="19">
        <v>45597</v>
      </c>
      <c r="B326" s="2" t="s">
        <v>10</v>
      </c>
      <c r="C326" s="2">
        <v>5100</v>
      </c>
      <c r="D326" s="2" t="s">
        <v>46</v>
      </c>
      <c r="E326" s="2" t="s">
        <v>45</v>
      </c>
      <c r="F326" s="21">
        <v>-4.181</v>
      </c>
      <c r="G326" s="2" t="s">
        <v>62</v>
      </c>
    </row>
    <row r="327" spans="1:7" x14ac:dyDescent="0.3">
      <c r="A327" s="19">
        <v>45597</v>
      </c>
      <c r="B327" s="2" t="s">
        <v>10</v>
      </c>
      <c r="C327" s="2">
        <v>5200</v>
      </c>
      <c r="D327" s="2" t="s">
        <v>47</v>
      </c>
      <c r="E327" s="2" t="s">
        <v>45</v>
      </c>
      <c r="F327" s="21">
        <v>-2.4980000000000002</v>
      </c>
      <c r="G327" s="2" t="s">
        <v>62</v>
      </c>
    </row>
    <row r="328" spans="1:7" x14ac:dyDescent="0.3">
      <c r="A328" s="19">
        <v>45597</v>
      </c>
      <c r="B328" s="2" t="s">
        <v>10</v>
      </c>
      <c r="C328" s="2">
        <v>5300</v>
      </c>
      <c r="D328" s="2" t="s">
        <v>48</v>
      </c>
      <c r="E328" s="2" t="s">
        <v>45</v>
      </c>
      <c r="F328" s="21">
        <v>-1.046</v>
      </c>
      <c r="G328" s="2" t="s">
        <v>62</v>
      </c>
    </row>
    <row r="329" spans="1:7" x14ac:dyDescent="0.3">
      <c r="A329" s="19">
        <v>45597</v>
      </c>
      <c r="B329" s="2" t="s">
        <v>10</v>
      </c>
      <c r="C329" s="2">
        <v>5400</v>
      </c>
      <c r="D329" s="2" t="s">
        <v>49</v>
      </c>
      <c r="E329" s="2" t="s">
        <v>45</v>
      </c>
      <c r="F329" s="21">
        <v>-1.23</v>
      </c>
      <c r="G329" s="2" t="s">
        <v>62</v>
      </c>
    </row>
    <row r="330" spans="1:7" x14ac:dyDescent="0.3">
      <c r="A330" s="19">
        <v>45597</v>
      </c>
      <c r="B330" s="2" t="s">
        <v>11</v>
      </c>
      <c r="C330" s="2">
        <v>4000</v>
      </c>
      <c r="D330" s="2" t="s">
        <v>39</v>
      </c>
      <c r="E330" s="2" t="s">
        <v>40</v>
      </c>
      <c r="F330" s="21">
        <v>8.15</v>
      </c>
      <c r="G330" s="2" t="s">
        <v>62</v>
      </c>
    </row>
    <row r="331" spans="1:7" x14ac:dyDescent="0.3">
      <c r="A331" s="19">
        <v>45597</v>
      </c>
      <c r="B331" s="2" t="s">
        <v>11</v>
      </c>
      <c r="C331" s="2">
        <v>4100</v>
      </c>
      <c r="D331" s="2" t="s">
        <v>42</v>
      </c>
      <c r="E331" s="2" t="s">
        <v>40</v>
      </c>
      <c r="F331" s="21">
        <v>0.53600000000000003</v>
      </c>
      <c r="G331" s="2" t="s">
        <v>62</v>
      </c>
    </row>
    <row r="332" spans="1:7" x14ac:dyDescent="0.3">
      <c r="A332" s="19">
        <v>45597</v>
      </c>
      <c r="B332" s="2" t="s">
        <v>11</v>
      </c>
      <c r="C332" s="2">
        <v>4200</v>
      </c>
      <c r="D332" s="2" t="s">
        <v>43</v>
      </c>
      <c r="E332" s="2" t="s">
        <v>40</v>
      </c>
      <c r="F332" s="21">
        <v>0.83499999999999996</v>
      </c>
      <c r="G332" s="2" t="s">
        <v>62</v>
      </c>
    </row>
    <row r="333" spans="1:7" x14ac:dyDescent="0.3">
      <c r="A333" s="19">
        <v>45597</v>
      </c>
      <c r="B333" s="2" t="s">
        <v>11</v>
      </c>
      <c r="C333" s="2">
        <v>5000</v>
      </c>
      <c r="D333" s="2" t="s">
        <v>44</v>
      </c>
      <c r="E333" s="2" t="s">
        <v>45</v>
      </c>
      <c r="F333" s="21">
        <v>-3.5209999999999999</v>
      </c>
      <c r="G333" s="2" t="s">
        <v>62</v>
      </c>
    </row>
    <row r="334" spans="1:7" x14ac:dyDescent="0.3">
      <c r="A334" s="19">
        <v>45597</v>
      </c>
      <c r="B334" s="2" t="s">
        <v>11</v>
      </c>
      <c r="C334" s="2">
        <v>5100</v>
      </c>
      <c r="D334" s="2" t="s">
        <v>46</v>
      </c>
      <c r="E334" s="2" t="s">
        <v>45</v>
      </c>
      <c r="F334" s="21">
        <v>-1.2609999999999999</v>
      </c>
      <c r="G334" s="2" t="s">
        <v>62</v>
      </c>
    </row>
    <row r="335" spans="1:7" x14ac:dyDescent="0.3">
      <c r="A335" s="19">
        <v>45597</v>
      </c>
      <c r="B335" s="2" t="s">
        <v>11</v>
      </c>
      <c r="C335" s="2">
        <v>5200</v>
      </c>
      <c r="D335" s="2" t="s">
        <v>47</v>
      </c>
      <c r="E335" s="2" t="s">
        <v>45</v>
      </c>
      <c r="F335" s="21">
        <v>-1.0529999999999999</v>
      </c>
      <c r="G335" s="2" t="s">
        <v>62</v>
      </c>
    </row>
    <row r="336" spans="1:7" x14ac:dyDescent="0.3">
      <c r="A336" s="19">
        <v>45597</v>
      </c>
      <c r="B336" s="2" t="s">
        <v>11</v>
      </c>
      <c r="C336" s="2">
        <v>5300</v>
      </c>
      <c r="D336" s="2" t="s">
        <v>48</v>
      </c>
      <c r="E336" s="2" t="s">
        <v>45</v>
      </c>
      <c r="F336" s="21">
        <v>-0.64700000000000002</v>
      </c>
      <c r="G336" s="2" t="s">
        <v>62</v>
      </c>
    </row>
    <row r="337" spans="1:7" x14ac:dyDescent="0.3">
      <c r="A337" s="19">
        <v>45597</v>
      </c>
      <c r="B337" s="2" t="s">
        <v>11</v>
      </c>
      <c r="C337" s="2">
        <v>5400</v>
      </c>
      <c r="D337" s="2" t="s">
        <v>49</v>
      </c>
      <c r="E337" s="2" t="s">
        <v>45</v>
      </c>
      <c r="F337" s="21">
        <v>-0.71</v>
      </c>
      <c r="G337" s="2" t="s">
        <v>62</v>
      </c>
    </row>
    <row r="338" spans="1:7" x14ac:dyDescent="0.3">
      <c r="A338" s="19">
        <v>45627</v>
      </c>
      <c r="B338" s="2" t="s">
        <v>5</v>
      </c>
      <c r="C338" s="2">
        <v>4000</v>
      </c>
      <c r="D338" s="2" t="s">
        <v>39</v>
      </c>
      <c r="E338" s="2" t="s">
        <v>40</v>
      </c>
      <c r="F338" s="21">
        <v>95.677000000000007</v>
      </c>
      <c r="G338" s="2" t="s">
        <v>63</v>
      </c>
    </row>
    <row r="339" spans="1:7" x14ac:dyDescent="0.3">
      <c r="A339" s="19">
        <v>45627</v>
      </c>
      <c r="B339" s="2" t="s">
        <v>5</v>
      </c>
      <c r="C339" s="2">
        <v>4100</v>
      </c>
      <c r="D339" s="2" t="s">
        <v>42</v>
      </c>
      <c r="E339" s="2" t="s">
        <v>40</v>
      </c>
      <c r="F339" s="21">
        <v>12.289</v>
      </c>
      <c r="G339" s="2" t="s">
        <v>63</v>
      </c>
    </row>
    <row r="340" spans="1:7" x14ac:dyDescent="0.3">
      <c r="A340" s="19">
        <v>45627</v>
      </c>
      <c r="B340" s="2" t="s">
        <v>5</v>
      </c>
      <c r="C340" s="2">
        <v>4200</v>
      </c>
      <c r="D340" s="2" t="s">
        <v>43</v>
      </c>
      <c r="E340" s="2" t="s">
        <v>40</v>
      </c>
      <c r="F340" s="21">
        <v>5.008</v>
      </c>
      <c r="G340" s="2" t="s">
        <v>63</v>
      </c>
    </row>
    <row r="341" spans="1:7" x14ac:dyDescent="0.3">
      <c r="A341" s="19">
        <v>45627</v>
      </c>
      <c r="B341" s="2" t="s">
        <v>5</v>
      </c>
      <c r="C341" s="2">
        <v>5000</v>
      </c>
      <c r="D341" s="2" t="s">
        <v>44</v>
      </c>
      <c r="E341" s="2" t="s">
        <v>45</v>
      </c>
      <c r="F341" s="21">
        <v>-38.698</v>
      </c>
      <c r="G341" s="2" t="s">
        <v>63</v>
      </c>
    </row>
    <row r="342" spans="1:7" x14ac:dyDescent="0.3">
      <c r="A342" s="19">
        <v>45627</v>
      </c>
      <c r="B342" s="2" t="s">
        <v>5</v>
      </c>
      <c r="C342" s="2">
        <v>5100</v>
      </c>
      <c r="D342" s="2" t="s">
        <v>46</v>
      </c>
      <c r="E342" s="2" t="s">
        <v>45</v>
      </c>
      <c r="F342" s="21">
        <v>-8.3070000000000004</v>
      </c>
      <c r="G342" s="2" t="s">
        <v>63</v>
      </c>
    </row>
    <row r="343" spans="1:7" x14ac:dyDescent="0.3">
      <c r="A343" s="19">
        <v>45627</v>
      </c>
      <c r="B343" s="2" t="s">
        <v>5</v>
      </c>
      <c r="C343" s="2">
        <v>5200</v>
      </c>
      <c r="D343" s="2" t="s">
        <v>47</v>
      </c>
      <c r="E343" s="2" t="s">
        <v>45</v>
      </c>
      <c r="F343" s="21">
        <v>-6.2480000000000002</v>
      </c>
      <c r="G343" s="2" t="s">
        <v>63</v>
      </c>
    </row>
    <row r="344" spans="1:7" x14ac:dyDescent="0.3">
      <c r="A344" s="19">
        <v>45627</v>
      </c>
      <c r="B344" s="2" t="s">
        <v>5</v>
      </c>
      <c r="C344" s="2">
        <v>5300</v>
      </c>
      <c r="D344" s="2" t="s">
        <v>48</v>
      </c>
      <c r="E344" s="2" t="s">
        <v>45</v>
      </c>
      <c r="F344" s="21">
        <v>-3.1230000000000002</v>
      </c>
      <c r="G344" s="2" t="s">
        <v>63</v>
      </c>
    </row>
    <row r="345" spans="1:7" x14ac:dyDescent="0.3">
      <c r="A345" s="19">
        <v>45627</v>
      </c>
      <c r="B345" s="2" t="s">
        <v>5</v>
      </c>
      <c r="C345" s="2">
        <v>5400</v>
      </c>
      <c r="D345" s="2" t="s">
        <v>49</v>
      </c>
      <c r="E345" s="2" t="s">
        <v>45</v>
      </c>
      <c r="F345" s="21">
        <v>-4.3019999999999996</v>
      </c>
      <c r="G345" s="2" t="s">
        <v>63</v>
      </c>
    </row>
    <row r="346" spans="1:7" x14ac:dyDescent="0.3">
      <c r="A346" s="19">
        <v>45627</v>
      </c>
      <c r="B346" s="2" t="s">
        <v>10</v>
      </c>
      <c r="C346" s="2">
        <v>4000</v>
      </c>
      <c r="D346" s="2" t="s">
        <v>39</v>
      </c>
      <c r="E346" s="2" t="s">
        <v>40</v>
      </c>
      <c r="F346" s="21">
        <v>18.079000000000001</v>
      </c>
      <c r="G346" s="2" t="s">
        <v>63</v>
      </c>
    </row>
    <row r="347" spans="1:7" x14ac:dyDescent="0.3">
      <c r="A347" s="19">
        <v>45627</v>
      </c>
      <c r="B347" s="2" t="s">
        <v>10</v>
      </c>
      <c r="C347" s="2">
        <v>4100</v>
      </c>
      <c r="D347" s="2" t="s">
        <v>42</v>
      </c>
      <c r="E347" s="2" t="s">
        <v>40</v>
      </c>
      <c r="F347" s="21">
        <v>2.0529999999999999</v>
      </c>
      <c r="G347" s="2" t="s">
        <v>63</v>
      </c>
    </row>
    <row r="348" spans="1:7" x14ac:dyDescent="0.3">
      <c r="A348" s="19">
        <v>45627</v>
      </c>
      <c r="B348" s="2" t="s">
        <v>10</v>
      </c>
      <c r="C348" s="2">
        <v>4200</v>
      </c>
      <c r="D348" s="2" t="s">
        <v>43</v>
      </c>
      <c r="E348" s="2" t="s">
        <v>40</v>
      </c>
      <c r="F348" s="21">
        <v>1.506</v>
      </c>
      <c r="G348" s="2" t="s">
        <v>63</v>
      </c>
    </row>
    <row r="349" spans="1:7" x14ac:dyDescent="0.3">
      <c r="A349" s="19">
        <v>45627</v>
      </c>
      <c r="B349" s="2" t="s">
        <v>10</v>
      </c>
      <c r="C349" s="2">
        <v>5000</v>
      </c>
      <c r="D349" s="2" t="s">
        <v>44</v>
      </c>
      <c r="E349" s="2" t="s">
        <v>45</v>
      </c>
      <c r="F349" s="21">
        <v>-9.0809999999999995</v>
      </c>
      <c r="G349" s="2" t="s">
        <v>63</v>
      </c>
    </row>
    <row r="350" spans="1:7" x14ac:dyDescent="0.3">
      <c r="A350" s="19">
        <v>45627</v>
      </c>
      <c r="B350" s="2" t="s">
        <v>10</v>
      </c>
      <c r="C350" s="2">
        <v>5100</v>
      </c>
      <c r="D350" s="2" t="s">
        <v>46</v>
      </c>
      <c r="E350" s="2" t="s">
        <v>45</v>
      </c>
      <c r="F350" s="21">
        <v>-4.0369999999999999</v>
      </c>
      <c r="G350" s="2" t="s">
        <v>63</v>
      </c>
    </row>
    <row r="351" spans="1:7" x14ac:dyDescent="0.3">
      <c r="A351" s="19">
        <v>45627</v>
      </c>
      <c r="B351" s="2" t="s">
        <v>10</v>
      </c>
      <c r="C351" s="2">
        <v>5200</v>
      </c>
      <c r="D351" s="2" t="s">
        <v>47</v>
      </c>
      <c r="E351" s="2" t="s">
        <v>45</v>
      </c>
      <c r="F351" s="21">
        <v>-2.5609999999999999</v>
      </c>
      <c r="G351" s="2" t="s">
        <v>63</v>
      </c>
    </row>
    <row r="352" spans="1:7" x14ac:dyDescent="0.3">
      <c r="A352" s="19">
        <v>45627</v>
      </c>
      <c r="B352" s="2" t="s">
        <v>10</v>
      </c>
      <c r="C352" s="2">
        <v>5300</v>
      </c>
      <c r="D352" s="2" t="s">
        <v>48</v>
      </c>
      <c r="E352" s="2" t="s">
        <v>45</v>
      </c>
      <c r="F352" s="21">
        <v>-1.006</v>
      </c>
      <c r="G352" s="2" t="s">
        <v>63</v>
      </c>
    </row>
    <row r="353" spans="1:7" x14ac:dyDescent="0.3">
      <c r="A353" s="19">
        <v>45627</v>
      </c>
      <c r="B353" s="2" t="s">
        <v>10</v>
      </c>
      <c r="C353" s="2">
        <v>5400</v>
      </c>
      <c r="D353" s="2" t="s">
        <v>49</v>
      </c>
      <c r="E353" s="2" t="s">
        <v>45</v>
      </c>
      <c r="F353" s="21">
        <v>-1.2290000000000001</v>
      </c>
      <c r="G353" s="2" t="s">
        <v>63</v>
      </c>
    </row>
    <row r="354" spans="1:7" x14ac:dyDescent="0.3">
      <c r="A354" s="19">
        <v>45627</v>
      </c>
      <c r="B354" s="2" t="s">
        <v>11</v>
      </c>
      <c r="C354" s="2">
        <v>4000</v>
      </c>
      <c r="D354" s="2" t="s">
        <v>39</v>
      </c>
      <c r="E354" s="2" t="s">
        <v>40</v>
      </c>
      <c r="F354" s="21">
        <v>8.0440000000000005</v>
      </c>
      <c r="G354" s="2" t="s">
        <v>63</v>
      </c>
    </row>
    <row r="355" spans="1:7" x14ac:dyDescent="0.3">
      <c r="A355" s="19">
        <v>45627</v>
      </c>
      <c r="B355" s="2" t="s">
        <v>11</v>
      </c>
      <c r="C355" s="2">
        <v>4100</v>
      </c>
      <c r="D355" s="2" t="s">
        <v>42</v>
      </c>
      <c r="E355" s="2" t="s">
        <v>40</v>
      </c>
      <c r="F355" s="21">
        <v>0.51600000000000001</v>
      </c>
      <c r="G355" s="2" t="s">
        <v>63</v>
      </c>
    </row>
    <row r="356" spans="1:7" x14ac:dyDescent="0.3">
      <c r="A356" s="19">
        <v>45627</v>
      </c>
      <c r="B356" s="2" t="s">
        <v>11</v>
      </c>
      <c r="C356" s="2">
        <v>4200</v>
      </c>
      <c r="D356" s="2" t="s">
        <v>43</v>
      </c>
      <c r="E356" s="2" t="s">
        <v>40</v>
      </c>
      <c r="F356" s="21">
        <v>0.81799999999999995</v>
      </c>
      <c r="G356" s="2" t="s">
        <v>63</v>
      </c>
    </row>
    <row r="357" spans="1:7" x14ac:dyDescent="0.3">
      <c r="A357" s="19">
        <v>45627</v>
      </c>
      <c r="B357" s="2" t="s">
        <v>11</v>
      </c>
      <c r="C357" s="2">
        <v>5000</v>
      </c>
      <c r="D357" s="2" t="s">
        <v>44</v>
      </c>
      <c r="E357" s="2" t="s">
        <v>45</v>
      </c>
      <c r="F357" s="21">
        <v>-3.7280000000000002</v>
      </c>
      <c r="G357" s="2" t="s">
        <v>63</v>
      </c>
    </row>
    <row r="358" spans="1:7" x14ac:dyDescent="0.3">
      <c r="A358" s="19">
        <v>45627</v>
      </c>
      <c r="B358" s="2" t="s">
        <v>11</v>
      </c>
      <c r="C358" s="2">
        <v>5100</v>
      </c>
      <c r="D358" s="2" t="s">
        <v>46</v>
      </c>
      <c r="E358" s="2" t="s">
        <v>45</v>
      </c>
      <c r="F358" s="21">
        <v>-1.242</v>
      </c>
      <c r="G358" s="2" t="s">
        <v>63</v>
      </c>
    </row>
    <row r="359" spans="1:7" x14ac:dyDescent="0.3">
      <c r="A359" s="19">
        <v>45627</v>
      </c>
      <c r="B359" s="2" t="s">
        <v>11</v>
      </c>
      <c r="C359" s="2">
        <v>5200</v>
      </c>
      <c r="D359" s="2" t="s">
        <v>47</v>
      </c>
      <c r="E359" s="2" t="s">
        <v>45</v>
      </c>
      <c r="F359" s="21">
        <v>-1.04</v>
      </c>
      <c r="G359" s="2" t="s">
        <v>63</v>
      </c>
    </row>
    <row r="360" spans="1:7" x14ac:dyDescent="0.3">
      <c r="A360" s="19">
        <v>45627</v>
      </c>
      <c r="B360" s="2" t="s">
        <v>11</v>
      </c>
      <c r="C360" s="2">
        <v>5300</v>
      </c>
      <c r="D360" s="2" t="s">
        <v>48</v>
      </c>
      <c r="E360" s="2" t="s">
        <v>45</v>
      </c>
      <c r="F360" s="21">
        <v>-0.64300000000000002</v>
      </c>
      <c r="G360" s="2" t="s">
        <v>63</v>
      </c>
    </row>
    <row r="361" spans="1:7" x14ac:dyDescent="0.3">
      <c r="A361" s="19">
        <v>45627</v>
      </c>
      <c r="B361" s="2" t="s">
        <v>11</v>
      </c>
      <c r="C361" s="2">
        <v>5400</v>
      </c>
      <c r="D361" s="2" t="s">
        <v>49</v>
      </c>
      <c r="E361" s="2" t="s">
        <v>45</v>
      </c>
      <c r="F361" s="21">
        <v>-0.73699999999999999</v>
      </c>
      <c r="G361" s="2" t="s">
        <v>63</v>
      </c>
    </row>
    <row r="362" spans="1:7" x14ac:dyDescent="0.3">
      <c r="A362" s="19">
        <v>45658</v>
      </c>
      <c r="B362" s="2" t="s">
        <v>5</v>
      </c>
      <c r="C362" s="2">
        <v>4000</v>
      </c>
      <c r="D362" s="2" t="s">
        <v>39</v>
      </c>
      <c r="E362" s="2" t="s">
        <v>40</v>
      </c>
      <c r="F362" s="21">
        <v>97.834000000000003</v>
      </c>
      <c r="G362" s="2" t="s">
        <v>64</v>
      </c>
    </row>
    <row r="363" spans="1:7" x14ac:dyDescent="0.3">
      <c r="A363" s="19">
        <v>45658</v>
      </c>
      <c r="B363" s="2" t="s">
        <v>5</v>
      </c>
      <c r="C363" s="2">
        <v>4100</v>
      </c>
      <c r="D363" s="2" t="s">
        <v>42</v>
      </c>
      <c r="E363" s="2" t="s">
        <v>40</v>
      </c>
      <c r="F363" s="21">
        <v>12.742000000000001</v>
      </c>
      <c r="G363" s="2" t="s">
        <v>64</v>
      </c>
    </row>
    <row r="364" spans="1:7" x14ac:dyDescent="0.3">
      <c r="A364" s="19">
        <v>45658</v>
      </c>
      <c r="B364" s="2" t="s">
        <v>5</v>
      </c>
      <c r="C364" s="2">
        <v>4200</v>
      </c>
      <c r="D364" s="2" t="s">
        <v>43</v>
      </c>
      <c r="E364" s="2" t="s">
        <v>40</v>
      </c>
      <c r="F364" s="21">
        <v>5.194</v>
      </c>
      <c r="G364" s="2" t="s">
        <v>64</v>
      </c>
    </row>
    <row r="365" spans="1:7" x14ac:dyDescent="0.3">
      <c r="A365" s="19">
        <v>45658</v>
      </c>
      <c r="B365" s="2" t="s">
        <v>5</v>
      </c>
      <c r="C365" s="2">
        <v>5000</v>
      </c>
      <c r="D365" s="2" t="s">
        <v>44</v>
      </c>
      <c r="E365" s="2" t="s">
        <v>45</v>
      </c>
      <c r="F365" s="21">
        <v>-38.796999999999997</v>
      </c>
      <c r="G365" s="2" t="s">
        <v>64</v>
      </c>
    </row>
    <row r="366" spans="1:7" x14ac:dyDescent="0.3">
      <c r="A366" s="19">
        <v>45658</v>
      </c>
      <c r="B366" s="2" t="s">
        <v>5</v>
      </c>
      <c r="C366" s="2">
        <v>5100</v>
      </c>
      <c r="D366" s="2" t="s">
        <v>46</v>
      </c>
      <c r="E366" s="2" t="s">
        <v>45</v>
      </c>
      <c r="F366" s="21">
        <v>-8.5229999999999997</v>
      </c>
      <c r="G366" s="2" t="s">
        <v>64</v>
      </c>
    </row>
    <row r="367" spans="1:7" x14ac:dyDescent="0.3">
      <c r="A367" s="19">
        <v>45658</v>
      </c>
      <c r="B367" s="2" t="s">
        <v>5</v>
      </c>
      <c r="C367" s="2">
        <v>5200</v>
      </c>
      <c r="D367" s="2" t="s">
        <v>47</v>
      </c>
      <c r="E367" s="2" t="s">
        <v>45</v>
      </c>
      <c r="F367" s="21">
        <v>-6.1280000000000001</v>
      </c>
      <c r="G367" s="2" t="s">
        <v>64</v>
      </c>
    </row>
    <row r="368" spans="1:7" x14ac:dyDescent="0.3">
      <c r="A368" s="19">
        <v>45658</v>
      </c>
      <c r="B368" s="2" t="s">
        <v>5</v>
      </c>
      <c r="C368" s="2">
        <v>5300</v>
      </c>
      <c r="D368" s="2" t="s">
        <v>48</v>
      </c>
      <c r="E368" s="2" t="s">
        <v>45</v>
      </c>
      <c r="F368" s="21">
        <v>-3.1539999999999999</v>
      </c>
      <c r="G368" s="2" t="s">
        <v>64</v>
      </c>
    </row>
    <row r="369" spans="1:7" x14ac:dyDescent="0.3">
      <c r="A369" s="19">
        <v>45658</v>
      </c>
      <c r="B369" s="2" t="s">
        <v>5</v>
      </c>
      <c r="C369" s="2">
        <v>5400</v>
      </c>
      <c r="D369" s="2" t="s">
        <v>49</v>
      </c>
      <c r="E369" s="2" t="s">
        <v>45</v>
      </c>
      <c r="F369" s="21">
        <v>-4.1440000000000001</v>
      </c>
      <c r="G369" s="2" t="s">
        <v>64</v>
      </c>
    </row>
    <row r="370" spans="1:7" x14ac:dyDescent="0.3">
      <c r="A370" s="19">
        <v>45658</v>
      </c>
      <c r="B370" s="2" t="s">
        <v>10</v>
      </c>
      <c r="C370" s="2">
        <v>4000</v>
      </c>
      <c r="D370" s="2" t="s">
        <v>39</v>
      </c>
      <c r="E370" s="2" t="s">
        <v>40</v>
      </c>
      <c r="F370" s="21">
        <v>18.692</v>
      </c>
      <c r="G370" s="2" t="s">
        <v>64</v>
      </c>
    </row>
    <row r="371" spans="1:7" x14ac:dyDescent="0.3">
      <c r="A371" s="19">
        <v>45658</v>
      </c>
      <c r="B371" s="2" t="s">
        <v>10</v>
      </c>
      <c r="C371" s="2">
        <v>4100</v>
      </c>
      <c r="D371" s="2" t="s">
        <v>42</v>
      </c>
      <c r="E371" s="2" t="s">
        <v>40</v>
      </c>
      <c r="F371" s="21">
        <v>2.145</v>
      </c>
      <c r="G371" s="2" t="s">
        <v>64</v>
      </c>
    </row>
    <row r="372" spans="1:7" x14ac:dyDescent="0.3">
      <c r="A372" s="19">
        <v>45658</v>
      </c>
      <c r="B372" s="2" t="s">
        <v>10</v>
      </c>
      <c r="C372" s="2">
        <v>4200</v>
      </c>
      <c r="D372" s="2" t="s">
        <v>43</v>
      </c>
      <c r="E372" s="2" t="s">
        <v>40</v>
      </c>
      <c r="F372" s="21">
        <v>1.5129999999999999</v>
      </c>
      <c r="G372" s="2" t="s">
        <v>64</v>
      </c>
    </row>
    <row r="373" spans="1:7" x14ac:dyDescent="0.3">
      <c r="A373" s="19">
        <v>45658</v>
      </c>
      <c r="B373" s="2" t="s">
        <v>10</v>
      </c>
      <c r="C373" s="2">
        <v>5000</v>
      </c>
      <c r="D373" s="2" t="s">
        <v>44</v>
      </c>
      <c r="E373" s="2" t="s">
        <v>45</v>
      </c>
      <c r="F373" s="21">
        <v>-9.3729999999999993</v>
      </c>
      <c r="G373" s="2" t="s">
        <v>64</v>
      </c>
    </row>
    <row r="374" spans="1:7" x14ac:dyDescent="0.3">
      <c r="A374" s="19">
        <v>45658</v>
      </c>
      <c r="B374" s="2" t="s">
        <v>10</v>
      </c>
      <c r="C374" s="2">
        <v>5100</v>
      </c>
      <c r="D374" s="2" t="s">
        <v>46</v>
      </c>
      <c r="E374" s="2" t="s">
        <v>45</v>
      </c>
      <c r="F374" s="21">
        <v>-4.1399999999999997</v>
      </c>
      <c r="G374" s="2" t="s">
        <v>64</v>
      </c>
    </row>
    <row r="375" spans="1:7" x14ac:dyDescent="0.3">
      <c r="A375" s="19">
        <v>45658</v>
      </c>
      <c r="B375" s="2" t="s">
        <v>10</v>
      </c>
      <c r="C375" s="2">
        <v>5200</v>
      </c>
      <c r="D375" s="2" t="s">
        <v>47</v>
      </c>
      <c r="E375" s="2" t="s">
        <v>45</v>
      </c>
      <c r="F375" s="21">
        <v>-2.5470000000000002</v>
      </c>
      <c r="G375" s="2" t="s">
        <v>64</v>
      </c>
    </row>
    <row r="376" spans="1:7" x14ac:dyDescent="0.3">
      <c r="A376" s="19">
        <v>45658</v>
      </c>
      <c r="B376" s="2" t="s">
        <v>10</v>
      </c>
      <c r="C376" s="2">
        <v>5300</v>
      </c>
      <c r="D376" s="2" t="s">
        <v>48</v>
      </c>
      <c r="E376" s="2" t="s">
        <v>45</v>
      </c>
      <c r="F376" s="21">
        <v>-1.0649999999999999</v>
      </c>
      <c r="G376" s="2" t="s">
        <v>64</v>
      </c>
    </row>
    <row r="377" spans="1:7" x14ac:dyDescent="0.3">
      <c r="A377" s="19">
        <v>45658</v>
      </c>
      <c r="B377" s="2" t="s">
        <v>10</v>
      </c>
      <c r="C377" s="2">
        <v>5400</v>
      </c>
      <c r="D377" s="2" t="s">
        <v>49</v>
      </c>
      <c r="E377" s="2" t="s">
        <v>45</v>
      </c>
      <c r="F377" s="21">
        <v>-1.27</v>
      </c>
      <c r="G377" s="2" t="s">
        <v>64</v>
      </c>
    </row>
    <row r="378" spans="1:7" x14ac:dyDescent="0.3">
      <c r="A378" s="19">
        <v>45658</v>
      </c>
      <c r="B378" s="2" t="s">
        <v>11</v>
      </c>
      <c r="C378" s="2">
        <v>4000</v>
      </c>
      <c r="D378" s="2" t="s">
        <v>39</v>
      </c>
      <c r="E378" s="2" t="s">
        <v>40</v>
      </c>
      <c r="F378" s="21">
        <v>8.1340000000000003</v>
      </c>
      <c r="G378" s="2" t="s">
        <v>64</v>
      </c>
    </row>
    <row r="379" spans="1:7" x14ac:dyDescent="0.3">
      <c r="A379" s="19">
        <v>45658</v>
      </c>
      <c r="B379" s="2" t="s">
        <v>11</v>
      </c>
      <c r="C379" s="2">
        <v>4100</v>
      </c>
      <c r="D379" s="2" t="s">
        <v>42</v>
      </c>
      <c r="E379" s="2" t="s">
        <v>40</v>
      </c>
      <c r="F379" s="21">
        <v>0.53</v>
      </c>
      <c r="G379" s="2" t="s">
        <v>64</v>
      </c>
    </row>
    <row r="380" spans="1:7" x14ac:dyDescent="0.3">
      <c r="A380" s="19">
        <v>45658</v>
      </c>
      <c r="B380" s="2" t="s">
        <v>11</v>
      </c>
      <c r="C380" s="2">
        <v>4200</v>
      </c>
      <c r="D380" s="2" t="s">
        <v>43</v>
      </c>
      <c r="E380" s="2" t="s">
        <v>40</v>
      </c>
      <c r="F380" s="21">
        <v>0.80700000000000005</v>
      </c>
      <c r="G380" s="2" t="s">
        <v>64</v>
      </c>
    </row>
    <row r="381" spans="1:7" x14ac:dyDescent="0.3">
      <c r="A381" s="19">
        <v>45658</v>
      </c>
      <c r="B381" s="2" t="s">
        <v>11</v>
      </c>
      <c r="C381" s="2">
        <v>5000</v>
      </c>
      <c r="D381" s="2" t="s">
        <v>44</v>
      </c>
      <c r="E381" s="2" t="s">
        <v>45</v>
      </c>
      <c r="F381" s="21">
        <v>-3.633</v>
      </c>
      <c r="G381" s="2" t="s">
        <v>64</v>
      </c>
    </row>
    <row r="382" spans="1:7" x14ac:dyDescent="0.3">
      <c r="A382" s="19">
        <v>45658</v>
      </c>
      <c r="B382" s="2" t="s">
        <v>11</v>
      </c>
      <c r="C382" s="2">
        <v>5100</v>
      </c>
      <c r="D382" s="2" t="s">
        <v>46</v>
      </c>
      <c r="E382" s="2" t="s">
        <v>45</v>
      </c>
      <c r="F382" s="21">
        <v>-1.276</v>
      </c>
      <c r="G382" s="2" t="s">
        <v>64</v>
      </c>
    </row>
    <row r="383" spans="1:7" x14ac:dyDescent="0.3">
      <c r="A383" s="19">
        <v>45658</v>
      </c>
      <c r="B383" s="2" t="s">
        <v>11</v>
      </c>
      <c r="C383" s="2">
        <v>5200</v>
      </c>
      <c r="D383" s="2" t="s">
        <v>47</v>
      </c>
      <c r="E383" s="2" t="s">
        <v>45</v>
      </c>
      <c r="F383" s="21">
        <v>-1.006</v>
      </c>
      <c r="G383" s="2" t="s">
        <v>64</v>
      </c>
    </row>
    <row r="384" spans="1:7" x14ac:dyDescent="0.3">
      <c r="A384" s="19">
        <v>45658</v>
      </c>
      <c r="B384" s="2" t="s">
        <v>11</v>
      </c>
      <c r="C384" s="2">
        <v>5300</v>
      </c>
      <c r="D384" s="2" t="s">
        <v>48</v>
      </c>
      <c r="E384" s="2" t="s">
        <v>45</v>
      </c>
      <c r="F384" s="21">
        <v>-0.62</v>
      </c>
      <c r="G384" s="2" t="s">
        <v>64</v>
      </c>
    </row>
    <row r="385" spans="1:7" x14ac:dyDescent="0.3">
      <c r="A385" s="19">
        <v>45658</v>
      </c>
      <c r="B385" s="2" t="s">
        <v>11</v>
      </c>
      <c r="C385" s="2">
        <v>5400</v>
      </c>
      <c r="D385" s="2" t="s">
        <v>49</v>
      </c>
      <c r="E385" s="2" t="s">
        <v>45</v>
      </c>
      <c r="F385" s="21">
        <v>-0.71699999999999997</v>
      </c>
      <c r="G385" s="2" t="s">
        <v>64</v>
      </c>
    </row>
    <row r="386" spans="1:7" x14ac:dyDescent="0.3">
      <c r="A386" s="19">
        <v>45689</v>
      </c>
      <c r="B386" s="2" t="s">
        <v>5</v>
      </c>
      <c r="C386" s="2">
        <v>4000</v>
      </c>
      <c r="D386" s="2" t="s">
        <v>39</v>
      </c>
      <c r="E386" s="2" t="s">
        <v>40</v>
      </c>
      <c r="F386" s="21">
        <v>103.252</v>
      </c>
      <c r="G386" s="2" t="s">
        <v>65</v>
      </c>
    </row>
    <row r="387" spans="1:7" x14ac:dyDescent="0.3">
      <c r="A387" s="19">
        <v>45689</v>
      </c>
      <c r="B387" s="2" t="s">
        <v>5</v>
      </c>
      <c r="C387" s="2">
        <v>4100</v>
      </c>
      <c r="D387" s="2" t="s">
        <v>42</v>
      </c>
      <c r="E387" s="2" t="s">
        <v>40</v>
      </c>
      <c r="F387" s="21">
        <v>12.489000000000001</v>
      </c>
      <c r="G387" s="2" t="s">
        <v>65</v>
      </c>
    </row>
    <row r="388" spans="1:7" x14ac:dyDescent="0.3">
      <c r="A388" s="19">
        <v>45689</v>
      </c>
      <c r="B388" s="2" t="s">
        <v>5</v>
      </c>
      <c r="C388" s="2">
        <v>4200</v>
      </c>
      <c r="D388" s="2" t="s">
        <v>43</v>
      </c>
      <c r="E388" s="2" t="s">
        <v>40</v>
      </c>
      <c r="F388" s="21">
        <v>5.319</v>
      </c>
      <c r="G388" s="2" t="s">
        <v>65</v>
      </c>
    </row>
    <row r="389" spans="1:7" x14ac:dyDescent="0.3">
      <c r="A389" s="19">
        <v>45689</v>
      </c>
      <c r="B389" s="2" t="s">
        <v>5</v>
      </c>
      <c r="C389" s="2">
        <v>5000</v>
      </c>
      <c r="D389" s="2" t="s">
        <v>44</v>
      </c>
      <c r="E389" s="2" t="s">
        <v>45</v>
      </c>
      <c r="F389" s="21">
        <v>-39.131999999999998</v>
      </c>
      <c r="G389" s="2" t="s">
        <v>65</v>
      </c>
    </row>
    <row r="390" spans="1:7" x14ac:dyDescent="0.3">
      <c r="A390" s="19">
        <v>45689</v>
      </c>
      <c r="B390" s="2" t="s">
        <v>5</v>
      </c>
      <c r="C390" s="2">
        <v>5100</v>
      </c>
      <c r="D390" s="2" t="s">
        <v>46</v>
      </c>
      <c r="E390" s="2" t="s">
        <v>45</v>
      </c>
      <c r="F390" s="21">
        <v>-8.7140000000000004</v>
      </c>
      <c r="G390" s="2" t="s">
        <v>65</v>
      </c>
    </row>
    <row r="391" spans="1:7" x14ac:dyDescent="0.3">
      <c r="A391" s="19">
        <v>45689</v>
      </c>
      <c r="B391" s="2" t="s">
        <v>5</v>
      </c>
      <c r="C391" s="2">
        <v>5200</v>
      </c>
      <c r="D391" s="2" t="s">
        <v>47</v>
      </c>
      <c r="E391" s="2" t="s">
        <v>45</v>
      </c>
      <c r="F391" s="21">
        <v>-6.2679999999999998</v>
      </c>
      <c r="G391" s="2" t="s">
        <v>65</v>
      </c>
    </row>
    <row r="392" spans="1:7" x14ac:dyDescent="0.3">
      <c r="A392" s="19">
        <v>45689</v>
      </c>
      <c r="B392" s="2" t="s">
        <v>5</v>
      </c>
      <c r="C392" s="2">
        <v>5300</v>
      </c>
      <c r="D392" s="2" t="s">
        <v>48</v>
      </c>
      <c r="E392" s="2" t="s">
        <v>45</v>
      </c>
      <c r="F392" s="21">
        <v>-3.12</v>
      </c>
      <c r="G392" s="2" t="s">
        <v>65</v>
      </c>
    </row>
    <row r="393" spans="1:7" x14ac:dyDescent="0.3">
      <c r="A393" s="19">
        <v>45689</v>
      </c>
      <c r="B393" s="2" t="s">
        <v>5</v>
      </c>
      <c r="C393" s="2">
        <v>5400</v>
      </c>
      <c r="D393" s="2" t="s">
        <v>49</v>
      </c>
      <c r="E393" s="2" t="s">
        <v>45</v>
      </c>
      <c r="F393" s="21">
        <v>-4.1959999999999997</v>
      </c>
      <c r="G393" s="2" t="s">
        <v>65</v>
      </c>
    </row>
    <row r="394" spans="1:7" x14ac:dyDescent="0.3">
      <c r="A394" s="19">
        <v>45689</v>
      </c>
      <c r="B394" s="2" t="s">
        <v>10</v>
      </c>
      <c r="C394" s="2">
        <v>4000</v>
      </c>
      <c r="D394" s="2" t="s">
        <v>39</v>
      </c>
      <c r="E394" s="2" t="s">
        <v>40</v>
      </c>
      <c r="F394" s="21">
        <v>19.588999999999999</v>
      </c>
      <c r="G394" s="2" t="s">
        <v>65</v>
      </c>
    </row>
    <row r="395" spans="1:7" x14ac:dyDescent="0.3">
      <c r="A395" s="19">
        <v>45689</v>
      </c>
      <c r="B395" s="2" t="s">
        <v>10</v>
      </c>
      <c r="C395" s="2">
        <v>4100</v>
      </c>
      <c r="D395" s="2" t="s">
        <v>42</v>
      </c>
      <c r="E395" s="2" t="s">
        <v>40</v>
      </c>
      <c r="F395" s="21">
        <v>2.1379999999999999</v>
      </c>
      <c r="G395" s="2" t="s">
        <v>65</v>
      </c>
    </row>
    <row r="396" spans="1:7" x14ac:dyDescent="0.3">
      <c r="A396" s="19">
        <v>45689</v>
      </c>
      <c r="B396" s="2" t="s">
        <v>10</v>
      </c>
      <c r="C396" s="2">
        <v>4200</v>
      </c>
      <c r="D396" s="2" t="s">
        <v>43</v>
      </c>
      <c r="E396" s="2" t="s">
        <v>40</v>
      </c>
      <c r="F396" s="21">
        <v>1.5580000000000001</v>
      </c>
      <c r="G396" s="2" t="s">
        <v>65</v>
      </c>
    </row>
    <row r="397" spans="1:7" x14ac:dyDescent="0.3">
      <c r="A397" s="19">
        <v>45689</v>
      </c>
      <c r="B397" s="2" t="s">
        <v>10</v>
      </c>
      <c r="C397" s="2">
        <v>5000</v>
      </c>
      <c r="D397" s="2" t="s">
        <v>44</v>
      </c>
      <c r="E397" s="2" t="s">
        <v>45</v>
      </c>
      <c r="F397" s="21">
        <v>-9.5559999999999992</v>
      </c>
      <c r="G397" s="2" t="s">
        <v>65</v>
      </c>
    </row>
    <row r="398" spans="1:7" x14ac:dyDescent="0.3">
      <c r="A398" s="19">
        <v>45689</v>
      </c>
      <c r="B398" s="2" t="s">
        <v>10</v>
      </c>
      <c r="C398" s="2">
        <v>5100</v>
      </c>
      <c r="D398" s="2" t="s">
        <v>46</v>
      </c>
      <c r="E398" s="2" t="s">
        <v>45</v>
      </c>
      <c r="F398" s="21">
        <v>-4.2690000000000001</v>
      </c>
      <c r="G398" s="2" t="s">
        <v>65</v>
      </c>
    </row>
    <row r="399" spans="1:7" x14ac:dyDescent="0.3">
      <c r="A399" s="19">
        <v>45689</v>
      </c>
      <c r="B399" s="2" t="s">
        <v>10</v>
      </c>
      <c r="C399" s="2">
        <v>5200</v>
      </c>
      <c r="D399" s="2" t="s">
        <v>47</v>
      </c>
      <c r="E399" s="2" t="s">
        <v>45</v>
      </c>
      <c r="F399" s="21">
        <v>-2.5249999999999999</v>
      </c>
      <c r="G399" s="2" t="s">
        <v>65</v>
      </c>
    </row>
    <row r="400" spans="1:7" x14ac:dyDescent="0.3">
      <c r="A400" s="19">
        <v>45689</v>
      </c>
      <c r="B400" s="2" t="s">
        <v>10</v>
      </c>
      <c r="C400" s="2">
        <v>5300</v>
      </c>
      <c r="D400" s="2" t="s">
        <v>48</v>
      </c>
      <c r="E400" s="2" t="s">
        <v>45</v>
      </c>
      <c r="F400" s="21">
        <v>-1.0840000000000001</v>
      </c>
      <c r="G400" s="2" t="s">
        <v>65</v>
      </c>
    </row>
    <row r="401" spans="1:7" x14ac:dyDescent="0.3">
      <c r="A401" s="19">
        <v>45689</v>
      </c>
      <c r="B401" s="2" t="s">
        <v>10</v>
      </c>
      <c r="C401" s="2">
        <v>5400</v>
      </c>
      <c r="D401" s="2" t="s">
        <v>49</v>
      </c>
      <c r="E401" s="2" t="s">
        <v>45</v>
      </c>
      <c r="F401" s="21">
        <v>-1.284</v>
      </c>
      <c r="G401" s="2" t="s">
        <v>65</v>
      </c>
    </row>
    <row r="402" spans="1:7" x14ac:dyDescent="0.3">
      <c r="A402" s="19">
        <v>45689</v>
      </c>
      <c r="B402" s="2" t="s">
        <v>11</v>
      </c>
      <c r="C402" s="2">
        <v>4000</v>
      </c>
      <c r="D402" s="2" t="s">
        <v>39</v>
      </c>
      <c r="E402" s="2" t="s">
        <v>40</v>
      </c>
      <c r="F402" s="21">
        <v>8.6479999999999997</v>
      </c>
      <c r="G402" s="2" t="s">
        <v>65</v>
      </c>
    </row>
    <row r="403" spans="1:7" x14ac:dyDescent="0.3">
      <c r="A403" s="19">
        <v>45689</v>
      </c>
      <c r="B403" s="2" t="s">
        <v>11</v>
      </c>
      <c r="C403" s="2">
        <v>4100</v>
      </c>
      <c r="D403" s="2" t="s">
        <v>42</v>
      </c>
      <c r="E403" s="2" t="s">
        <v>40</v>
      </c>
      <c r="F403" s="21">
        <v>0.51100000000000001</v>
      </c>
      <c r="G403" s="2" t="s">
        <v>65</v>
      </c>
    </row>
    <row r="404" spans="1:7" x14ac:dyDescent="0.3">
      <c r="A404" s="19">
        <v>45689</v>
      </c>
      <c r="B404" s="2" t="s">
        <v>11</v>
      </c>
      <c r="C404" s="2">
        <v>4200</v>
      </c>
      <c r="D404" s="2" t="s">
        <v>43</v>
      </c>
      <c r="E404" s="2" t="s">
        <v>40</v>
      </c>
      <c r="F404" s="21">
        <v>0.82299999999999995</v>
      </c>
      <c r="G404" s="2" t="s">
        <v>65</v>
      </c>
    </row>
    <row r="405" spans="1:7" x14ac:dyDescent="0.3">
      <c r="A405" s="19">
        <v>45689</v>
      </c>
      <c r="B405" s="2" t="s">
        <v>11</v>
      </c>
      <c r="C405" s="2">
        <v>5000</v>
      </c>
      <c r="D405" s="2" t="s">
        <v>44</v>
      </c>
      <c r="E405" s="2" t="s">
        <v>45</v>
      </c>
      <c r="F405" s="21">
        <v>-3.6240000000000001</v>
      </c>
      <c r="G405" s="2" t="s">
        <v>65</v>
      </c>
    </row>
    <row r="406" spans="1:7" x14ac:dyDescent="0.3">
      <c r="A406" s="19">
        <v>45689</v>
      </c>
      <c r="B406" s="2" t="s">
        <v>11</v>
      </c>
      <c r="C406" s="2">
        <v>5100</v>
      </c>
      <c r="D406" s="2" t="s">
        <v>46</v>
      </c>
      <c r="E406" s="2" t="s">
        <v>45</v>
      </c>
      <c r="F406" s="21">
        <v>-1.2949999999999999</v>
      </c>
      <c r="G406" s="2" t="s">
        <v>65</v>
      </c>
    </row>
    <row r="407" spans="1:7" x14ac:dyDescent="0.3">
      <c r="A407" s="19">
        <v>45689</v>
      </c>
      <c r="B407" s="2" t="s">
        <v>11</v>
      </c>
      <c r="C407" s="2">
        <v>5200</v>
      </c>
      <c r="D407" s="2" t="s">
        <v>47</v>
      </c>
      <c r="E407" s="2" t="s">
        <v>45</v>
      </c>
      <c r="F407" s="21">
        <v>-1.0609999999999999</v>
      </c>
      <c r="G407" s="2" t="s">
        <v>65</v>
      </c>
    </row>
    <row r="408" spans="1:7" x14ac:dyDescent="0.3">
      <c r="A408" s="19">
        <v>45689</v>
      </c>
      <c r="B408" s="2" t="s">
        <v>11</v>
      </c>
      <c r="C408" s="2">
        <v>5300</v>
      </c>
      <c r="D408" s="2" t="s">
        <v>48</v>
      </c>
      <c r="E408" s="2" t="s">
        <v>45</v>
      </c>
      <c r="F408" s="21">
        <v>-0.64500000000000002</v>
      </c>
      <c r="G408" s="2" t="s">
        <v>65</v>
      </c>
    </row>
    <row r="409" spans="1:7" x14ac:dyDescent="0.3">
      <c r="A409" s="19">
        <v>45689</v>
      </c>
      <c r="B409" s="2" t="s">
        <v>11</v>
      </c>
      <c r="C409" s="2">
        <v>5400</v>
      </c>
      <c r="D409" s="2" t="s">
        <v>49</v>
      </c>
      <c r="E409" s="2" t="s">
        <v>45</v>
      </c>
      <c r="F409" s="21">
        <v>-0.72599999999999998</v>
      </c>
      <c r="G409" s="2" t="s">
        <v>65</v>
      </c>
    </row>
    <row r="410" spans="1:7" x14ac:dyDescent="0.3">
      <c r="A410" s="19">
        <v>45717</v>
      </c>
      <c r="B410" s="2" t="s">
        <v>5</v>
      </c>
      <c r="C410" s="2">
        <v>4000</v>
      </c>
      <c r="D410" s="2" t="s">
        <v>39</v>
      </c>
      <c r="E410" s="2" t="s">
        <v>40</v>
      </c>
      <c r="F410" s="21">
        <v>98.631</v>
      </c>
      <c r="G410" s="2" t="s">
        <v>66</v>
      </c>
    </row>
    <row r="411" spans="1:7" x14ac:dyDescent="0.3">
      <c r="A411" s="19">
        <v>45717</v>
      </c>
      <c r="B411" s="2" t="s">
        <v>5</v>
      </c>
      <c r="C411" s="2">
        <v>4100</v>
      </c>
      <c r="D411" s="2" t="s">
        <v>42</v>
      </c>
      <c r="E411" s="2" t="s">
        <v>40</v>
      </c>
      <c r="F411" s="21">
        <v>12.87</v>
      </c>
      <c r="G411" s="2" t="s">
        <v>66</v>
      </c>
    </row>
    <row r="412" spans="1:7" x14ac:dyDescent="0.3">
      <c r="A412" s="19">
        <v>45717</v>
      </c>
      <c r="B412" s="2" t="s">
        <v>5</v>
      </c>
      <c r="C412" s="2">
        <v>4200</v>
      </c>
      <c r="D412" s="2" t="s">
        <v>43</v>
      </c>
      <c r="E412" s="2" t="s">
        <v>40</v>
      </c>
      <c r="F412" s="21">
        <v>5.101</v>
      </c>
      <c r="G412" s="2" t="s">
        <v>66</v>
      </c>
    </row>
    <row r="413" spans="1:7" x14ac:dyDescent="0.3">
      <c r="A413" s="19">
        <v>45717</v>
      </c>
      <c r="B413" s="2" t="s">
        <v>5</v>
      </c>
      <c r="C413" s="2">
        <v>5000</v>
      </c>
      <c r="D413" s="2" t="s">
        <v>44</v>
      </c>
      <c r="E413" s="2" t="s">
        <v>45</v>
      </c>
      <c r="F413" s="21">
        <v>-40.771999999999998</v>
      </c>
      <c r="G413" s="2" t="s">
        <v>66</v>
      </c>
    </row>
    <row r="414" spans="1:7" x14ac:dyDescent="0.3">
      <c r="A414" s="19">
        <v>45717</v>
      </c>
      <c r="B414" s="2" t="s">
        <v>5</v>
      </c>
      <c r="C414" s="2">
        <v>5100</v>
      </c>
      <c r="D414" s="2" t="s">
        <v>46</v>
      </c>
      <c r="E414" s="2" t="s">
        <v>45</v>
      </c>
      <c r="F414" s="21">
        <v>-8.4329999999999998</v>
      </c>
      <c r="G414" s="2" t="s">
        <v>66</v>
      </c>
    </row>
    <row r="415" spans="1:7" x14ac:dyDescent="0.3">
      <c r="A415" s="19">
        <v>45717</v>
      </c>
      <c r="B415" s="2" t="s">
        <v>5</v>
      </c>
      <c r="C415" s="2">
        <v>5200</v>
      </c>
      <c r="D415" s="2" t="s">
        <v>47</v>
      </c>
      <c r="E415" s="2" t="s">
        <v>45</v>
      </c>
      <c r="F415" s="21">
        <v>-6.3339999999999996</v>
      </c>
      <c r="G415" s="2" t="s">
        <v>66</v>
      </c>
    </row>
    <row r="416" spans="1:7" x14ac:dyDescent="0.3">
      <c r="A416" s="19">
        <v>45717</v>
      </c>
      <c r="B416" s="2" t="s">
        <v>5</v>
      </c>
      <c r="C416" s="2">
        <v>5300</v>
      </c>
      <c r="D416" s="2" t="s">
        <v>48</v>
      </c>
      <c r="E416" s="2" t="s">
        <v>45</v>
      </c>
      <c r="F416" s="21">
        <v>-3.105</v>
      </c>
      <c r="G416" s="2" t="s">
        <v>66</v>
      </c>
    </row>
    <row r="417" spans="1:7" x14ac:dyDescent="0.3">
      <c r="A417" s="19">
        <v>45717</v>
      </c>
      <c r="B417" s="2" t="s">
        <v>5</v>
      </c>
      <c r="C417" s="2">
        <v>5400</v>
      </c>
      <c r="D417" s="2" t="s">
        <v>49</v>
      </c>
      <c r="E417" s="2" t="s">
        <v>45</v>
      </c>
      <c r="F417" s="21">
        <v>-4.2359999999999998</v>
      </c>
      <c r="G417" s="2" t="s">
        <v>66</v>
      </c>
    </row>
    <row r="418" spans="1:7" x14ac:dyDescent="0.3">
      <c r="A418" s="19">
        <v>45717</v>
      </c>
      <c r="B418" s="2" t="s">
        <v>10</v>
      </c>
      <c r="C418" s="2">
        <v>4000</v>
      </c>
      <c r="D418" s="2" t="s">
        <v>39</v>
      </c>
      <c r="E418" s="2" t="s">
        <v>40</v>
      </c>
      <c r="F418" s="21">
        <v>18.245999999999999</v>
      </c>
      <c r="G418" s="2" t="s">
        <v>66</v>
      </c>
    </row>
    <row r="419" spans="1:7" x14ac:dyDescent="0.3">
      <c r="A419" s="19">
        <v>45717</v>
      </c>
      <c r="B419" s="2" t="s">
        <v>10</v>
      </c>
      <c r="C419" s="2">
        <v>4100</v>
      </c>
      <c r="D419" s="2" t="s">
        <v>42</v>
      </c>
      <c r="E419" s="2" t="s">
        <v>40</v>
      </c>
      <c r="F419" s="21">
        <v>2.0870000000000002</v>
      </c>
      <c r="G419" s="2" t="s">
        <v>66</v>
      </c>
    </row>
    <row r="420" spans="1:7" x14ac:dyDescent="0.3">
      <c r="A420" s="19">
        <v>45717</v>
      </c>
      <c r="B420" s="2" t="s">
        <v>10</v>
      </c>
      <c r="C420" s="2">
        <v>4200</v>
      </c>
      <c r="D420" s="2" t="s">
        <v>43</v>
      </c>
      <c r="E420" s="2" t="s">
        <v>40</v>
      </c>
      <c r="F420" s="21">
        <v>1.5569999999999999</v>
      </c>
      <c r="G420" s="2" t="s">
        <v>66</v>
      </c>
    </row>
    <row r="421" spans="1:7" x14ac:dyDescent="0.3">
      <c r="A421" s="19">
        <v>45717</v>
      </c>
      <c r="B421" s="2" t="s">
        <v>10</v>
      </c>
      <c r="C421" s="2">
        <v>5000</v>
      </c>
      <c r="D421" s="2" t="s">
        <v>44</v>
      </c>
      <c r="E421" s="2" t="s">
        <v>45</v>
      </c>
      <c r="F421" s="21">
        <v>-9.1219999999999999</v>
      </c>
      <c r="G421" s="2" t="s">
        <v>66</v>
      </c>
    </row>
    <row r="422" spans="1:7" x14ac:dyDescent="0.3">
      <c r="A422" s="19">
        <v>45717</v>
      </c>
      <c r="B422" s="2" t="s">
        <v>10</v>
      </c>
      <c r="C422" s="2">
        <v>5100</v>
      </c>
      <c r="D422" s="2" t="s">
        <v>46</v>
      </c>
      <c r="E422" s="2" t="s">
        <v>45</v>
      </c>
      <c r="F422" s="21">
        <v>-4.1989999999999998</v>
      </c>
      <c r="G422" s="2" t="s">
        <v>66</v>
      </c>
    </row>
    <row r="423" spans="1:7" x14ac:dyDescent="0.3">
      <c r="A423" s="19">
        <v>45717</v>
      </c>
      <c r="B423" s="2" t="s">
        <v>10</v>
      </c>
      <c r="C423" s="2">
        <v>5200</v>
      </c>
      <c r="D423" s="2" t="s">
        <v>47</v>
      </c>
      <c r="E423" s="2" t="s">
        <v>45</v>
      </c>
      <c r="F423" s="21">
        <v>-2.5649999999999999</v>
      </c>
      <c r="G423" s="2" t="s">
        <v>66</v>
      </c>
    </row>
    <row r="424" spans="1:7" x14ac:dyDescent="0.3">
      <c r="A424" s="19">
        <v>45717</v>
      </c>
      <c r="B424" s="2" t="s">
        <v>10</v>
      </c>
      <c r="C424" s="2">
        <v>5300</v>
      </c>
      <c r="D424" s="2" t="s">
        <v>48</v>
      </c>
      <c r="E424" s="2" t="s">
        <v>45</v>
      </c>
      <c r="F424" s="21">
        <v>-1.0900000000000001</v>
      </c>
      <c r="G424" s="2" t="s">
        <v>66</v>
      </c>
    </row>
    <row r="425" spans="1:7" x14ac:dyDescent="0.3">
      <c r="A425" s="19">
        <v>45717</v>
      </c>
      <c r="B425" s="2" t="s">
        <v>10</v>
      </c>
      <c r="C425" s="2">
        <v>5400</v>
      </c>
      <c r="D425" s="2" t="s">
        <v>49</v>
      </c>
      <c r="E425" s="2" t="s">
        <v>45</v>
      </c>
      <c r="F425" s="21">
        <v>-1.306</v>
      </c>
      <c r="G425" s="2" t="s">
        <v>66</v>
      </c>
    </row>
    <row r="426" spans="1:7" x14ac:dyDescent="0.3">
      <c r="A426" s="19">
        <v>45717</v>
      </c>
      <c r="B426" s="2" t="s">
        <v>11</v>
      </c>
      <c r="C426" s="2">
        <v>4000</v>
      </c>
      <c r="D426" s="2" t="s">
        <v>39</v>
      </c>
      <c r="E426" s="2" t="s">
        <v>40</v>
      </c>
      <c r="F426" s="21">
        <v>8.4670000000000005</v>
      </c>
      <c r="G426" s="2" t="s">
        <v>66</v>
      </c>
    </row>
    <row r="427" spans="1:7" x14ac:dyDescent="0.3">
      <c r="A427" s="19">
        <v>45717</v>
      </c>
      <c r="B427" s="2" t="s">
        <v>11</v>
      </c>
      <c r="C427" s="2">
        <v>4100</v>
      </c>
      <c r="D427" s="2" t="s">
        <v>42</v>
      </c>
      <c r="E427" s="2" t="s">
        <v>40</v>
      </c>
      <c r="F427" s="21">
        <v>0.51300000000000001</v>
      </c>
      <c r="G427" s="2" t="s">
        <v>66</v>
      </c>
    </row>
    <row r="428" spans="1:7" x14ac:dyDescent="0.3">
      <c r="A428" s="19">
        <v>45717</v>
      </c>
      <c r="B428" s="2" t="s">
        <v>11</v>
      </c>
      <c r="C428" s="2">
        <v>4200</v>
      </c>
      <c r="D428" s="2" t="s">
        <v>43</v>
      </c>
      <c r="E428" s="2" t="s">
        <v>40</v>
      </c>
      <c r="F428" s="21">
        <v>0.82099999999999995</v>
      </c>
      <c r="G428" s="2" t="s">
        <v>66</v>
      </c>
    </row>
    <row r="429" spans="1:7" x14ac:dyDescent="0.3">
      <c r="A429" s="19">
        <v>45717</v>
      </c>
      <c r="B429" s="2" t="s">
        <v>11</v>
      </c>
      <c r="C429" s="2">
        <v>5000</v>
      </c>
      <c r="D429" s="2" t="s">
        <v>44</v>
      </c>
      <c r="E429" s="2" t="s">
        <v>45</v>
      </c>
      <c r="F429" s="21">
        <v>-3.8</v>
      </c>
      <c r="G429" s="2" t="s">
        <v>66</v>
      </c>
    </row>
    <row r="430" spans="1:7" x14ac:dyDescent="0.3">
      <c r="A430" s="19">
        <v>45717</v>
      </c>
      <c r="B430" s="2" t="s">
        <v>11</v>
      </c>
      <c r="C430" s="2">
        <v>5100</v>
      </c>
      <c r="D430" s="2" t="s">
        <v>46</v>
      </c>
      <c r="E430" s="2" t="s">
        <v>45</v>
      </c>
      <c r="F430" s="21">
        <v>-1.2310000000000001</v>
      </c>
      <c r="G430" s="2" t="s">
        <v>66</v>
      </c>
    </row>
    <row r="431" spans="1:7" x14ac:dyDescent="0.3">
      <c r="A431" s="19">
        <v>45717</v>
      </c>
      <c r="B431" s="2" t="s">
        <v>11</v>
      </c>
      <c r="C431" s="2">
        <v>5200</v>
      </c>
      <c r="D431" s="2" t="s">
        <v>47</v>
      </c>
      <c r="E431" s="2" t="s">
        <v>45</v>
      </c>
      <c r="F431" s="21">
        <v>-1.0669999999999999</v>
      </c>
      <c r="G431" s="2" t="s">
        <v>66</v>
      </c>
    </row>
    <row r="432" spans="1:7" x14ac:dyDescent="0.3">
      <c r="A432" s="19">
        <v>45717</v>
      </c>
      <c r="B432" s="2" t="s">
        <v>11</v>
      </c>
      <c r="C432" s="2">
        <v>5300</v>
      </c>
      <c r="D432" s="2" t="s">
        <v>48</v>
      </c>
      <c r="E432" s="2" t="s">
        <v>45</v>
      </c>
      <c r="F432" s="21">
        <v>-0.63600000000000001</v>
      </c>
      <c r="G432" s="2" t="s">
        <v>66</v>
      </c>
    </row>
    <row r="433" spans="1:7" x14ac:dyDescent="0.3">
      <c r="A433" s="19">
        <v>45717</v>
      </c>
      <c r="B433" s="2" t="s">
        <v>11</v>
      </c>
      <c r="C433" s="2">
        <v>5400</v>
      </c>
      <c r="D433" s="2" t="s">
        <v>49</v>
      </c>
      <c r="E433" s="2" t="s">
        <v>45</v>
      </c>
      <c r="F433" s="21">
        <v>-0.72799999999999998</v>
      </c>
      <c r="G433" s="2" t="s">
        <v>66</v>
      </c>
    </row>
    <row r="434" spans="1:7" x14ac:dyDescent="0.3">
      <c r="A434" s="19">
        <v>45748</v>
      </c>
      <c r="B434" s="2" t="s">
        <v>5</v>
      </c>
      <c r="C434" s="2">
        <v>4000</v>
      </c>
      <c r="D434" s="2" t="s">
        <v>39</v>
      </c>
      <c r="E434" s="2" t="s">
        <v>40</v>
      </c>
      <c r="F434" s="21">
        <v>102.59699999999999</v>
      </c>
      <c r="G434" s="2" t="s">
        <v>67</v>
      </c>
    </row>
    <row r="435" spans="1:7" x14ac:dyDescent="0.3">
      <c r="A435" s="19">
        <v>45748</v>
      </c>
      <c r="B435" s="2" t="s">
        <v>5</v>
      </c>
      <c r="C435" s="2">
        <v>4100</v>
      </c>
      <c r="D435" s="2" t="s">
        <v>42</v>
      </c>
      <c r="E435" s="2" t="s">
        <v>40</v>
      </c>
      <c r="F435" s="21">
        <v>12.202999999999999</v>
      </c>
      <c r="G435" s="2" t="s">
        <v>67</v>
      </c>
    </row>
    <row r="436" spans="1:7" x14ac:dyDescent="0.3">
      <c r="A436" s="19">
        <v>45748</v>
      </c>
      <c r="B436" s="2" t="s">
        <v>5</v>
      </c>
      <c r="C436" s="2">
        <v>4200</v>
      </c>
      <c r="D436" s="2" t="s">
        <v>43</v>
      </c>
      <c r="E436" s="2" t="s">
        <v>40</v>
      </c>
      <c r="F436" s="21">
        <v>5.101</v>
      </c>
      <c r="G436" s="2" t="s">
        <v>67</v>
      </c>
    </row>
    <row r="437" spans="1:7" x14ac:dyDescent="0.3">
      <c r="A437" s="19">
        <v>45748</v>
      </c>
      <c r="B437" s="2" t="s">
        <v>5</v>
      </c>
      <c r="C437" s="2">
        <v>5000</v>
      </c>
      <c r="D437" s="2" t="s">
        <v>44</v>
      </c>
      <c r="E437" s="2" t="s">
        <v>45</v>
      </c>
      <c r="F437" s="21">
        <v>-41.59</v>
      </c>
      <c r="G437" s="2" t="s">
        <v>67</v>
      </c>
    </row>
    <row r="438" spans="1:7" x14ac:dyDescent="0.3">
      <c r="A438" s="19">
        <v>45748</v>
      </c>
      <c r="B438" s="2" t="s">
        <v>5</v>
      </c>
      <c r="C438" s="2">
        <v>5100</v>
      </c>
      <c r="D438" s="2" t="s">
        <v>46</v>
      </c>
      <c r="E438" s="2" t="s">
        <v>45</v>
      </c>
      <c r="F438" s="21">
        <v>-8.5760000000000005</v>
      </c>
      <c r="G438" s="2" t="s">
        <v>67</v>
      </c>
    </row>
    <row r="439" spans="1:7" x14ac:dyDescent="0.3">
      <c r="A439" s="19">
        <v>45748</v>
      </c>
      <c r="B439" s="2" t="s">
        <v>5</v>
      </c>
      <c r="C439" s="2">
        <v>5200</v>
      </c>
      <c r="D439" s="2" t="s">
        <v>47</v>
      </c>
      <c r="E439" s="2" t="s">
        <v>45</v>
      </c>
      <c r="F439" s="21">
        <v>-6.4939999999999998</v>
      </c>
      <c r="G439" s="2" t="s">
        <v>67</v>
      </c>
    </row>
    <row r="440" spans="1:7" x14ac:dyDescent="0.3">
      <c r="A440" s="19">
        <v>45748</v>
      </c>
      <c r="B440" s="2" t="s">
        <v>5</v>
      </c>
      <c r="C440" s="2">
        <v>5300</v>
      </c>
      <c r="D440" s="2" t="s">
        <v>48</v>
      </c>
      <c r="E440" s="2" t="s">
        <v>45</v>
      </c>
      <c r="F440" s="21">
        <v>-3.1930000000000001</v>
      </c>
      <c r="G440" s="2" t="s">
        <v>67</v>
      </c>
    </row>
    <row r="441" spans="1:7" x14ac:dyDescent="0.3">
      <c r="A441" s="19">
        <v>45748</v>
      </c>
      <c r="B441" s="2" t="s">
        <v>5</v>
      </c>
      <c r="C441" s="2">
        <v>5400</v>
      </c>
      <c r="D441" s="2" t="s">
        <v>49</v>
      </c>
      <c r="E441" s="2" t="s">
        <v>45</v>
      </c>
      <c r="F441" s="21">
        <v>-4.3760000000000003</v>
      </c>
      <c r="G441" s="2" t="s">
        <v>67</v>
      </c>
    </row>
    <row r="442" spans="1:7" x14ac:dyDescent="0.3">
      <c r="A442" s="19">
        <v>45748</v>
      </c>
      <c r="B442" s="2" t="s">
        <v>10</v>
      </c>
      <c r="C442" s="2">
        <v>4000</v>
      </c>
      <c r="D442" s="2" t="s">
        <v>39</v>
      </c>
      <c r="E442" s="2" t="s">
        <v>40</v>
      </c>
      <c r="F442" s="21">
        <v>19.709</v>
      </c>
      <c r="G442" s="2" t="s">
        <v>67</v>
      </c>
    </row>
    <row r="443" spans="1:7" x14ac:dyDescent="0.3">
      <c r="A443" s="19">
        <v>45748</v>
      </c>
      <c r="B443" s="2" t="s">
        <v>10</v>
      </c>
      <c r="C443" s="2">
        <v>4100</v>
      </c>
      <c r="D443" s="2" t="s">
        <v>42</v>
      </c>
      <c r="E443" s="2" t="s">
        <v>40</v>
      </c>
      <c r="F443" s="21">
        <v>2.0489999999999999</v>
      </c>
      <c r="G443" s="2" t="s">
        <v>67</v>
      </c>
    </row>
    <row r="444" spans="1:7" x14ac:dyDescent="0.3">
      <c r="A444" s="19">
        <v>45748</v>
      </c>
      <c r="B444" s="2" t="s">
        <v>10</v>
      </c>
      <c r="C444" s="2">
        <v>4200</v>
      </c>
      <c r="D444" s="2" t="s">
        <v>43</v>
      </c>
      <c r="E444" s="2" t="s">
        <v>40</v>
      </c>
      <c r="F444" s="21">
        <v>1.5509999999999999</v>
      </c>
      <c r="G444" s="2" t="s">
        <v>67</v>
      </c>
    </row>
    <row r="445" spans="1:7" x14ac:dyDescent="0.3">
      <c r="A445" s="19">
        <v>45748</v>
      </c>
      <c r="B445" s="2" t="s">
        <v>10</v>
      </c>
      <c r="C445" s="2">
        <v>5000</v>
      </c>
      <c r="D445" s="2" t="s">
        <v>44</v>
      </c>
      <c r="E445" s="2" t="s">
        <v>45</v>
      </c>
      <c r="F445" s="21">
        <v>-9.8390000000000004</v>
      </c>
      <c r="G445" s="2" t="s">
        <v>67</v>
      </c>
    </row>
    <row r="446" spans="1:7" x14ac:dyDescent="0.3">
      <c r="A446" s="19">
        <v>45748</v>
      </c>
      <c r="B446" s="2" t="s">
        <v>10</v>
      </c>
      <c r="C446" s="2">
        <v>5100</v>
      </c>
      <c r="D446" s="2" t="s">
        <v>46</v>
      </c>
      <c r="E446" s="2" t="s">
        <v>45</v>
      </c>
      <c r="F446" s="21">
        <v>-4.3780000000000001</v>
      </c>
      <c r="G446" s="2" t="s">
        <v>67</v>
      </c>
    </row>
    <row r="447" spans="1:7" x14ac:dyDescent="0.3">
      <c r="A447" s="19">
        <v>45748</v>
      </c>
      <c r="B447" s="2" t="s">
        <v>10</v>
      </c>
      <c r="C447" s="2">
        <v>5200</v>
      </c>
      <c r="D447" s="2" t="s">
        <v>47</v>
      </c>
      <c r="E447" s="2" t="s">
        <v>45</v>
      </c>
      <c r="F447" s="21">
        <v>-2.738</v>
      </c>
      <c r="G447" s="2" t="s">
        <v>67</v>
      </c>
    </row>
    <row r="448" spans="1:7" x14ac:dyDescent="0.3">
      <c r="A448" s="19">
        <v>45748</v>
      </c>
      <c r="B448" s="2" t="s">
        <v>10</v>
      </c>
      <c r="C448" s="2">
        <v>5300</v>
      </c>
      <c r="D448" s="2" t="s">
        <v>48</v>
      </c>
      <c r="E448" s="2" t="s">
        <v>45</v>
      </c>
      <c r="F448" s="21">
        <v>-1.028</v>
      </c>
      <c r="G448" s="2" t="s">
        <v>67</v>
      </c>
    </row>
    <row r="449" spans="1:7" x14ac:dyDescent="0.3">
      <c r="A449" s="19">
        <v>45748</v>
      </c>
      <c r="B449" s="2" t="s">
        <v>10</v>
      </c>
      <c r="C449" s="2">
        <v>5400</v>
      </c>
      <c r="D449" s="2" t="s">
        <v>49</v>
      </c>
      <c r="E449" s="2" t="s">
        <v>45</v>
      </c>
      <c r="F449" s="21">
        <v>-1.268</v>
      </c>
      <c r="G449" s="2" t="s">
        <v>67</v>
      </c>
    </row>
    <row r="450" spans="1:7" x14ac:dyDescent="0.3">
      <c r="A450" s="19">
        <v>45748</v>
      </c>
      <c r="B450" s="2" t="s">
        <v>11</v>
      </c>
      <c r="C450" s="2">
        <v>4000</v>
      </c>
      <c r="D450" s="2" t="s">
        <v>39</v>
      </c>
      <c r="E450" s="2" t="s">
        <v>40</v>
      </c>
      <c r="F450" s="21">
        <v>8.484</v>
      </c>
      <c r="G450" s="2" t="s">
        <v>67</v>
      </c>
    </row>
    <row r="451" spans="1:7" x14ac:dyDescent="0.3">
      <c r="A451" s="19">
        <v>45748</v>
      </c>
      <c r="B451" s="2" t="s">
        <v>11</v>
      </c>
      <c r="C451" s="2">
        <v>4100</v>
      </c>
      <c r="D451" s="2" t="s">
        <v>42</v>
      </c>
      <c r="E451" s="2" t="s">
        <v>40</v>
      </c>
      <c r="F451" s="21">
        <v>0.51</v>
      </c>
      <c r="G451" s="2" t="s">
        <v>67</v>
      </c>
    </row>
    <row r="452" spans="1:7" x14ac:dyDescent="0.3">
      <c r="A452" s="19">
        <v>45748</v>
      </c>
      <c r="B452" s="2" t="s">
        <v>11</v>
      </c>
      <c r="C452" s="2">
        <v>4200</v>
      </c>
      <c r="D452" s="2" t="s">
        <v>43</v>
      </c>
      <c r="E452" s="2" t="s">
        <v>40</v>
      </c>
      <c r="F452" s="21">
        <v>0.82399999999999995</v>
      </c>
      <c r="G452" s="2" t="s">
        <v>67</v>
      </c>
    </row>
    <row r="453" spans="1:7" x14ac:dyDescent="0.3">
      <c r="A453" s="19">
        <v>45748</v>
      </c>
      <c r="B453" s="2" t="s">
        <v>11</v>
      </c>
      <c r="C453" s="2">
        <v>5000</v>
      </c>
      <c r="D453" s="2" t="s">
        <v>44</v>
      </c>
      <c r="E453" s="2" t="s">
        <v>45</v>
      </c>
      <c r="F453" s="21">
        <v>-3.6709999999999998</v>
      </c>
      <c r="G453" s="2" t="s">
        <v>67</v>
      </c>
    </row>
    <row r="454" spans="1:7" x14ac:dyDescent="0.3">
      <c r="A454" s="19">
        <v>45748</v>
      </c>
      <c r="B454" s="2" t="s">
        <v>11</v>
      </c>
      <c r="C454" s="2">
        <v>5100</v>
      </c>
      <c r="D454" s="2" t="s">
        <v>46</v>
      </c>
      <c r="E454" s="2" t="s">
        <v>45</v>
      </c>
      <c r="F454" s="21">
        <v>-1.22</v>
      </c>
      <c r="G454" s="2" t="s">
        <v>67</v>
      </c>
    </row>
    <row r="455" spans="1:7" x14ac:dyDescent="0.3">
      <c r="A455" s="19">
        <v>45748</v>
      </c>
      <c r="B455" s="2" t="s">
        <v>11</v>
      </c>
      <c r="C455" s="2">
        <v>5200</v>
      </c>
      <c r="D455" s="2" t="s">
        <v>47</v>
      </c>
      <c r="E455" s="2" t="s">
        <v>45</v>
      </c>
      <c r="F455" s="21">
        <v>-1.0509999999999999</v>
      </c>
      <c r="G455" s="2" t="s">
        <v>67</v>
      </c>
    </row>
    <row r="456" spans="1:7" x14ac:dyDescent="0.3">
      <c r="A456" s="19">
        <v>45748</v>
      </c>
      <c r="B456" s="2" t="s">
        <v>11</v>
      </c>
      <c r="C456" s="2">
        <v>5300</v>
      </c>
      <c r="D456" s="2" t="s">
        <v>48</v>
      </c>
      <c r="E456" s="2" t="s">
        <v>45</v>
      </c>
      <c r="F456" s="21">
        <v>-0.65800000000000003</v>
      </c>
      <c r="G456" s="2" t="s">
        <v>67</v>
      </c>
    </row>
    <row r="457" spans="1:7" x14ac:dyDescent="0.3">
      <c r="A457" s="19">
        <v>45748</v>
      </c>
      <c r="B457" s="2" t="s">
        <v>11</v>
      </c>
      <c r="C457" s="2">
        <v>5400</v>
      </c>
      <c r="D457" s="2" t="s">
        <v>49</v>
      </c>
      <c r="E457" s="2" t="s">
        <v>45</v>
      </c>
      <c r="F457" s="21">
        <v>-0.74</v>
      </c>
      <c r="G457" s="2" t="s">
        <v>67</v>
      </c>
    </row>
    <row r="458" spans="1:7" x14ac:dyDescent="0.3">
      <c r="A458" s="19">
        <v>45778</v>
      </c>
      <c r="B458" s="2" t="s">
        <v>5</v>
      </c>
      <c r="C458" s="2">
        <v>4000</v>
      </c>
      <c r="D458" s="2" t="s">
        <v>39</v>
      </c>
      <c r="E458" s="2" t="s">
        <v>40</v>
      </c>
      <c r="F458" s="21">
        <v>101.818</v>
      </c>
      <c r="G458" s="2" t="s">
        <v>68</v>
      </c>
    </row>
    <row r="459" spans="1:7" x14ac:dyDescent="0.3">
      <c r="A459" s="19">
        <v>45778</v>
      </c>
      <c r="B459" s="2" t="s">
        <v>5</v>
      </c>
      <c r="C459" s="2">
        <v>4100</v>
      </c>
      <c r="D459" s="2" t="s">
        <v>42</v>
      </c>
      <c r="E459" s="2" t="s">
        <v>40</v>
      </c>
      <c r="F459" s="21">
        <v>12.849</v>
      </c>
      <c r="G459" s="2" t="s">
        <v>68</v>
      </c>
    </row>
    <row r="460" spans="1:7" x14ac:dyDescent="0.3">
      <c r="A460" s="19">
        <v>45778</v>
      </c>
      <c r="B460" s="2" t="s">
        <v>5</v>
      </c>
      <c r="C460" s="2">
        <v>4200</v>
      </c>
      <c r="D460" s="2" t="s">
        <v>43</v>
      </c>
      <c r="E460" s="2" t="s">
        <v>40</v>
      </c>
      <c r="F460" s="21">
        <v>5.4619999999999997</v>
      </c>
      <c r="G460" s="2" t="s">
        <v>68</v>
      </c>
    </row>
    <row r="461" spans="1:7" x14ac:dyDescent="0.3">
      <c r="A461" s="19">
        <v>45778</v>
      </c>
      <c r="B461" s="2" t="s">
        <v>5</v>
      </c>
      <c r="C461" s="2">
        <v>5000</v>
      </c>
      <c r="D461" s="2" t="s">
        <v>44</v>
      </c>
      <c r="E461" s="2" t="s">
        <v>45</v>
      </c>
      <c r="F461" s="21">
        <v>-39.433</v>
      </c>
      <c r="G461" s="2" t="s">
        <v>68</v>
      </c>
    </row>
    <row r="462" spans="1:7" x14ac:dyDescent="0.3">
      <c r="A462" s="19">
        <v>45778</v>
      </c>
      <c r="B462" s="2" t="s">
        <v>5</v>
      </c>
      <c r="C462" s="2">
        <v>5100</v>
      </c>
      <c r="D462" s="2" t="s">
        <v>46</v>
      </c>
      <c r="E462" s="2" t="s">
        <v>45</v>
      </c>
      <c r="F462" s="21">
        <v>-8.6940000000000008</v>
      </c>
      <c r="G462" s="2" t="s">
        <v>68</v>
      </c>
    </row>
    <row r="463" spans="1:7" x14ac:dyDescent="0.3">
      <c r="A463" s="19">
        <v>45778</v>
      </c>
      <c r="B463" s="2" t="s">
        <v>5</v>
      </c>
      <c r="C463" s="2">
        <v>5200</v>
      </c>
      <c r="D463" s="2" t="s">
        <v>47</v>
      </c>
      <c r="E463" s="2" t="s">
        <v>45</v>
      </c>
      <c r="F463" s="21">
        <v>-6.41</v>
      </c>
      <c r="G463" s="2" t="s">
        <v>68</v>
      </c>
    </row>
    <row r="464" spans="1:7" x14ac:dyDescent="0.3">
      <c r="A464" s="19">
        <v>45778</v>
      </c>
      <c r="B464" s="2" t="s">
        <v>5</v>
      </c>
      <c r="C464" s="2">
        <v>5300</v>
      </c>
      <c r="D464" s="2" t="s">
        <v>48</v>
      </c>
      <c r="E464" s="2" t="s">
        <v>45</v>
      </c>
      <c r="F464" s="21">
        <v>-3.2149999999999999</v>
      </c>
      <c r="G464" s="2" t="s">
        <v>68</v>
      </c>
    </row>
    <row r="465" spans="1:7" x14ac:dyDescent="0.3">
      <c r="A465" s="19">
        <v>45778</v>
      </c>
      <c r="B465" s="2" t="s">
        <v>5</v>
      </c>
      <c r="C465" s="2">
        <v>5400</v>
      </c>
      <c r="D465" s="2" t="s">
        <v>49</v>
      </c>
      <c r="E465" s="2" t="s">
        <v>45</v>
      </c>
      <c r="F465" s="21">
        <v>-4.3920000000000003</v>
      </c>
      <c r="G465" s="2" t="s">
        <v>68</v>
      </c>
    </row>
    <row r="466" spans="1:7" x14ac:dyDescent="0.3">
      <c r="A466" s="19">
        <v>45778</v>
      </c>
      <c r="B466" s="2" t="s">
        <v>10</v>
      </c>
      <c r="C466" s="2">
        <v>4000</v>
      </c>
      <c r="D466" s="2" t="s">
        <v>39</v>
      </c>
      <c r="E466" s="2" t="s">
        <v>40</v>
      </c>
      <c r="F466" s="21">
        <v>18.414000000000001</v>
      </c>
      <c r="G466" s="2" t="s">
        <v>68</v>
      </c>
    </row>
    <row r="467" spans="1:7" x14ac:dyDescent="0.3">
      <c r="A467" s="19">
        <v>45778</v>
      </c>
      <c r="B467" s="2" t="s">
        <v>10</v>
      </c>
      <c r="C467" s="2">
        <v>4100</v>
      </c>
      <c r="D467" s="2" t="s">
        <v>42</v>
      </c>
      <c r="E467" s="2" t="s">
        <v>40</v>
      </c>
      <c r="F467" s="21">
        <v>2.0790000000000002</v>
      </c>
      <c r="G467" s="2" t="s">
        <v>68</v>
      </c>
    </row>
    <row r="468" spans="1:7" x14ac:dyDescent="0.3">
      <c r="A468" s="19">
        <v>45778</v>
      </c>
      <c r="B468" s="2" t="s">
        <v>10</v>
      </c>
      <c r="C468" s="2">
        <v>4200</v>
      </c>
      <c r="D468" s="2" t="s">
        <v>43</v>
      </c>
      <c r="E468" s="2" t="s">
        <v>40</v>
      </c>
      <c r="F468" s="21">
        <v>1.5820000000000001</v>
      </c>
      <c r="G468" s="2" t="s">
        <v>68</v>
      </c>
    </row>
    <row r="469" spans="1:7" x14ac:dyDescent="0.3">
      <c r="A469" s="19">
        <v>45778</v>
      </c>
      <c r="B469" s="2" t="s">
        <v>10</v>
      </c>
      <c r="C469" s="2">
        <v>5000</v>
      </c>
      <c r="D469" s="2" t="s">
        <v>44</v>
      </c>
      <c r="E469" s="2" t="s">
        <v>45</v>
      </c>
      <c r="F469" s="21">
        <v>-9.6859999999999999</v>
      </c>
      <c r="G469" s="2" t="s">
        <v>68</v>
      </c>
    </row>
    <row r="470" spans="1:7" x14ac:dyDescent="0.3">
      <c r="A470" s="19">
        <v>45778</v>
      </c>
      <c r="B470" s="2" t="s">
        <v>10</v>
      </c>
      <c r="C470" s="2">
        <v>5100</v>
      </c>
      <c r="D470" s="2" t="s">
        <v>46</v>
      </c>
      <c r="E470" s="2" t="s">
        <v>45</v>
      </c>
      <c r="F470" s="21">
        <v>-4.2450000000000001</v>
      </c>
      <c r="G470" s="2" t="s">
        <v>68</v>
      </c>
    </row>
    <row r="471" spans="1:7" x14ac:dyDescent="0.3">
      <c r="A471" s="19">
        <v>45778</v>
      </c>
      <c r="B471" s="2" t="s">
        <v>10</v>
      </c>
      <c r="C471" s="2">
        <v>5200</v>
      </c>
      <c r="D471" s="2" t="s">
        <v>47</v>
      </c>
      <c r="E471" s="2" t="s">
        <v>45</v>
      </c>
      <c r="F471" s="21">
        <v>-2.6930000000000001</v>
      </c>
      <c r="G471" s="2" t="s">
        <v>68</v>
      </c>
    </row>
    <row r="472" spans="1:7" x14ac:dyDescent="0.3">
      <c r="A472" s="19">
        <v>45778</v>
      </c>
      <c r="B472" s="2" t="s">
        <v>10</v>
      </c>
      <c r="C472" s="2">
        <v>5300</v>
      </c>
      <c r="D472" s="2" t="s">
        <v>48</v>
      </c>
      <c r="E472" s="2" t="s">
        <v>45</v>
      </c>
      <c r="F472" s="21">
        <v>-1.0940000000000001</v>
      </c>
      <c r="G472" s="2" t="s">
        <v>68</v>
      </c>
    </row>
    <row r="473" spans="1:7" x14ac:dyDescent="0.3">
      <c r="A473" s="19">
        <v>45778</v>
      </c>
      <c r="B473" s="2" t="s">
        <v>10</v>
      </c>
      <c r="C473" s="2">
        <v>5400</v>
      </c>
      <c r="D473" s="2" t="s">
        <v>49</v>
      </c>
      <c r="E473" s="2" t="s">
        <v>45</v>
      </c>
      <c r="F473" s="21">
        <v>-1.3049999999999999</v>
      </c>
      <c r="G473" s="2" t="s">
        <v>68</v>
      </c>
    </row>
    <row r="474" spans="1:7" x14ac:dyDescent="0.3">
      <c r="A474" s="19">
        <v>45778</v>
      </c>
      <c r="B474" s="2" t="s">
        <v>11</v>
      </c>
      <c r="C474" s="2">
        <v>4000</v>
      </c>
      <c r="D474" s="2" t="s">
        <v>39</v>
      </c>
      <c r="E474" s="2" t="s">
        <v>40</v>
      </c>
      <c r="F474" s="21">
        <v>8.2509999999999994</v>
      </c>
      <c r="G474" s="2" t="s">
        <v>68</v>
      </c>
    </row>
    <row r="475" spans="1:7" x14ac:dyDescent="0.3">
      <c r="A475" s="19">
        <v>45778</v>
      </c>
      <c r="B475" s="2" t="s">
        <v>11</v>
      </c>
      <c r="C475" s="2">
        <v>4100</v>
      </c>
      <c r="D475" s="2" t="s">
        <v>42</v>
      </c>
      <c r="E475" s="2" t="s">
        <v>40</v>
      </c>
      <c r="F475" s="21">
        <v>0.51300000000000001</v>
      </c>
      <c r="G475" s="2" t="s">
        <v>68</v>
      </c>
    </row>
    <row r="476" spans="1:7" x14ac:dyDescent="0.3">
      <c r="A476" s="19">
        <v>45778</v>
      </c>
      <c r="B476" s="2" t="s">
        <v>11</v>
      </c>
      <c r="C476" s="2">
        <v>4200</v>
      </c>
      <c r="D476" s="2" t="s">
        <v>43</v>
      </c>
      <c r="E476" s="2" t="s">
        <v>40</v>
      </c>
      <c r="F476" s="21">
        <v>0.85499999999999998</v>
      </c>
      <c r="G476" s="2" t="s">
        <v>68</v>
      </c>
    </row>
    <row r="477" spans="1:7" x14ac:dyDescent="0.3">
      <c r="A477" s="19">
        <v>45778</v>
      </c>
      <c r="B477" s="2" t="s">
        <v>11</v>
      </c>
      <c r="C477" s="2">
        <v>5000</v>
      </c>
      <c r="D477" s="2" t="s">
        <v>44</v>
      </c>
      <c r="E477" s="2" t="s">
        <v>45</v>
      </c>
      <c r="F477" s="21">
        <v>-3.63</v>
      </c>
      <c r="G477" s="2" t="s">
        <v>68</v>
      </c>
    </row>
    <row r="478" spans="1:7" x14ac:dyDescent="0.3">
      <c r="A478" s="19">
        <v>45778</v>
      </c>
      <c r="B478" s="2" t="s">
        <v>11</v>
      </c>
      <c r="C478" s="2">
        <v>5100</v>
      </c>
      <c r="D478" s="2" t="s">
        <v>46</v>
      </c>
      <c r="E478" s="2" t="s">
        <v>45</v>
      </c>
      <c r="F478" s="21">
        <v>-1.2949999999999999</v>
      </c>
      <c r="G478" s="2" t="s">
        <v>68</v>
      </c>
    </row>
    <row r="479" spans="1:7" x14ac:dyDescent="0.3">
      <c r="A479" s="19">
        <v>45778</v>
      </c>
      <c r="B479" s="2" t="s">
        <v>11</v>
      </c>
      <c r="C479" s="2">
        <v>5200</v>
      </c>
      <c r="D479" s="2" t="s">
        <v>47</v>
      </c>
      <c r="E479" s="2" t="s">
        <v>45</v>
      </c>
      <c r="F479" s="21">
        <v>-1.0409999999999999</v>
      </c>
      <c r="G479" s="2" t="s">
        <v>68</v>
      </c>
    </row>
    <row r="480" spans="1:7" x14ac:dyDescent="0.3">
      <c r="A480" s="19">
        <v>45778</v>
      </c>
      <c r="B480" s="2" t="s">
        <v>11</v>
      </c>
      <c r="C480" s="2">
        <v>5300</v>
      </c>
      <c r="D480" s="2" t="s">
        <v>48</v>
      </c>
      <c r="E480" s="2" t="s">
        <v>45</v>
      </c>
      <c r="F480" s="21">
        <v>-0.627</v>
      </c>
      <c r="G480" s="2" t="s">
        <v>68</v>
      </c>
    </row>
    <row r="481" spans="1:7" x14ac:dyDescent="0.3">
      <c r="A481" s="19">
        <v>45778</v>
      </c>
      <c r="B481" s="2" t="s">
        <v>11</v>
      </c>
      <c r="C481" s="2">
        <v>5400</v>
      </c>
      <c r="D481" s="2" t="s">
        <v>49</v>
      </c>
      <c r="E481" s="2" t="s">
        <v>45</v>
      </c>
      <c r="F481" s="21">
        <v>-0.72299999999999998</v>
      </c>
      <c r="G481" s="2" t="s">
        <v>68</v>
      </c>
    </row>
    <row r="482" spans="1:7" x14ac:dyDescent="0.3">
      <c r="A482" s="19">
        <v>45809</v>
      </c>
      <c r="B482" s="2" t="s">
        <v>5</v>
      </c>
      <c r="C482" s="2">
        <v>4000</v>
      </c>
      <c r="D482" s="2" t="s">
        <v>39</v>
      </c>
      <c r="E482" s="2" t="s">
        <v>40</v>
      </c>
      <c r="F482" s="21">
        <v>98.941000000000003</v>
      </c>
      <c r="G482" s="2" t="s">
        <v>69</v>
      </c>
    </row>
    <row r="483" spans="1:7" x14ac:dyDescent="0.3">
      <c r="A483" s="19">
        <v>45809</v>
      </c>
      <c r="B483" s="2" t="s">
        <v>5</v>
      </c>
      <c r="C483" s="2">
        <v>4100</v>
      </c>
      <c r="D483" s="2" t="s">
        <v>42</v>
      </c>
      <c r="E483" s="2" t="s">
        <v>40</v>
      </c>
      <c r="F483" s="21">
        <v>13.121</v>
      </c>
      <c r="G483" s="2" t="s">
        <v>69</v>
      </c>
    </row>
    <row r="484" spans="1:7" x14ac:dyDescent="0.3">
      <c r="A484" s="19">
        <v>45809</v>
      </c>
      <c r="B484" s="2" t="s">
        <v>5</v>
      </c>
      <c r="C484" s="2">
        <v>4200</v>
      </c>
      <c r="D484" s="2" t="s">
        <v>43</v>
      </c>
      <c r="E484" s="2" t="s">
        <v>40</v>
      </c>
      <c r="F484" s="21">
        <v>5.4790000000000001</v>
      </c>
      <c r="G484" s="2" t="s">
        <v>69</v>
      </c>
    </row>
    <row r="485" spans="1:7" x14ac:dyDescent="0.3">
      <c r="A485" s="19">
        <v>45809</v>
      </c>
      <c r="B485" s="2" t="s">
        <v>5</v>
      </c>
      <c r="C485" s="2">
        <v>5000</v>
      </c>
      <c r="D485" s="2" t="s">
        <v>44</v>
      </c>
      <c r="E485" s="2" t="s">
        <v>45</v>
      </c>
      <c r="F485" s="21">
        <v>-41.805</v>
      </c>
      <c r="G485" s="2" t="s">
        <v>69</v>
      </c>
    </row>
    <row r="486" spans="1:7" x14ac:dyDescent="0.3">
      <c r="A486" s="19">
        <v>45809</v>
      </c>
      <c r="B486" s="2" t="s">
        <v>5</v>
      </c>
      <c r="C486" s="2">
        <v>5100</v>
      </c>
      <c r="D486" s="2" t="s">
        <v>46</v>
      </c>
      <c r="E486" s="2" t="s">
        <v>45</v>
      </c>
      <c r="F486" s="21">
        <v>-8.3350000000000009</v>
      </c>
      <c r="G486" s="2" t="s">
        <v>69</v>
      </c>
    </row>
    <row r="487" spans="1:7" x14ac:dyDescent="0.3">
      <c r="A487" s="19">
        <v>45809</v>
      </c>
      <c r="B487" s="2" t="s">
        <v>5</v>
      </c>
      <c r="C487" s="2">
        <v>5200</v>
      </c>
      <c r="D487" s="2" t="s">
        <v>47</v>
      </c>
      <c r="E487" s="2" t="s">
        <v>45</v>
      </c>
      <c r="F487" s="21">
        <v>-6.2510000000000003</v>
      </c>
      <c r="G487" s="2" t="s">
        <v>69</v>
      </c>
    </row>
    <row r="488" spans="1:7" x14ac:dyDescent="0.3">
      <c r="A488" s="19">
        <v>45809</v>
      </c>
      <c r="B488" s="2" t="s">
        <v>5</v>
      </c>
      <c r="C488" s="2">
        <v>5300</v>
      </c>
      <c r="D488" s="2" t="s">
        <v>48</v>
      </c>
      <c r="E488" s="2" t="s">
        <v>45</v>
      </c>
      <c r="F488" s="21">
        <v>-3.2559999999999998</v>
      </c>
      <c r="G488" s="2" t="s">
        <v>69</v>
      </c>
    </row>
    <row r="489" spans="1:7" x14ac:dyDescent="0.3">
      <c r="A489" s="19">
        <v>45809</v>
      </c>
      <c r="B489" s="2" t="s">
        <v>5</v>
      </c>
      <c r="C489" s="2">
        <v>5400</v>
      </c>
      <c r="D489" s="2" t="s">
        <v>49</v>
      </c>
      <c r="E489" s="2" t="s">
        <v>45</v>
      </c>
      <c r="F489" s="21">
        <v>-4.3949999999999996</v>
      </c>
      <c r="G489" s="2" t="s">
        <v>69</v>
      </c>
    </row>
    <row r="490" spans="1:7" x14ac:dyDescent="0.3">
      <c r="A490" s="19">
        <v>45809</v>
      </c>
      <c r="B490" s="2" t="s">
        <v>10</v>
      </c>
      <c r="C490" s="2">
        <v>4000</v>
      </c>
      <c r="D490" s="2" t="s">
        <v>39</v>
      </c>
      <c r="E490" s="2" t="s">
        <v>40</v>
      </c>
      <c r="F490" s="21">
        <v>19.433</v>
      </c>
      <c r="G490" s="2" t="s">
        <v>69</v>
      </c>
    </row>
    <row r="491" spans="1:7" x14ac:dyDescent="0.3">
      <c r="A491" s="19">
        <v>45809</v>
      </c>
      <c r="B491" s="2" t="s">
        <v>10</v>
      </c>
      <c r="C491" s="2">
        <v>4100</v>
      </c>
      <c r="D491" s="2" t="s">
        <v>42</v>
      </c>
      <c r="E491" s="2" t="s">
        <v>40</v>
      </c>
      <c r="F491" s="21">
        <v>2.0659999999999998</v>
      </c>
      <c r="G491" s="2" t="s">
        <v>69</v>
      </c>
    </row>
    <row r="492" spans="1:7" x14ac:dyDescent="0.3">
      <c r="A492" s="19">
        <v>45809</v>
      </c>
      <c r="B492" s="2" t="s">
        <v>10</v>
      </c>
      <c r="C492" s="2">
        <v>4200</v>
      </c>
      <c r="D492" s="2" t="s">
        <v>43</v>
      </c>
      <c r="E492" s="2" t="s">
        <v>40</v>
      </c>
      <c r="F492" s="21">
        <v>1.5669999999999999</v>
      </c>
      <c r="G492" s="2" t="s">
        <v>69</v>
      </c>
    </row>
    <row r="493" spans="1:7" x14ac:dyDescent="0.3">
      <c r="A493" s="19">
        <v>45809</v>
      </c>
      <c r="B493" s="2" t="s">
        <v>10</v>
      </c>
      <c r="C493" s="2">
        <v>5000</v>
      </c>
      <c r="D493" s="2" t="s">
        <v>44</v>
      </c>
      <c r="E493" s="2" t="s">
        <v>45</v>
      </c>
      <c r="F493" s="21">
        <v>-9.673</v>
      </c>
      <c r="G493" s="2" t="s">
        <v>69</v>
      </c>
    </row>
    <row r="494" spans="1:7" x14ac:dyDescent="0.3">
      <c r="A494" s="19">
        <v>45809</v>
      </c>
      <c r="B494" s="2" t="s">
        <v>10</v>
      </c>
      <c r="C494" s="2">
        <v>5100</v>
      </c>
      <c r="D494" s="2" t="s">
        <v>46</v>
      </c>
      <c r="E494" s="2" t="s">
        <v>45</v>
      </c>
      <c r="F494" s="21">
        <v>-4.25</v>
      </c>
      <c r="G494" s="2" t="s">
        <v>69</v>
      </c>
    </row>
    <row r="495" spans="1:7" x14ac:dyDescent="0.3">
      <c r="A495" s="19">
        <v>45809</v>
      </c>
      <c r="B495" s="2" t="s">
        <v>10</v>
      </c>
      <c r="C495" s="2">
        <v>5200</v>
      </c>
      <c r="D495" s="2" t="s">
        <v>47</v>
      </c>
      <c r="E495" s="2" t="s">
        <v>45</v>
      </c>
      <c r="F495" s="21">
        <v>-2.7109999999999999</v>
      </c>
      <c r="G495" s="2" t="s">
        <v>69</v>
      </c>
    </row>
    <row r="496" spans="1:7" x14ac:dyDescent="0.3">
      <c r="A496" s="19">
        <v>45809</v>
      </c>
      <c r="B496" s="2" t="s">
        <v>10</v>
      </c>
      <c r="C496" s="2">
        <v>5300</v>
      </c>
      <c r="D496" s="2" t="s">
        <v>48</v>
      </c>
      <c r="E496" s="2" t="s">
        <v>45</v>
      </c>
      <c r="F496" s="21">
        <v>-1.0629999999999999</v>
      </c>
      <c r="G496" s="2" t="s">
        <v>69</v>
      </c>
    </row>
    <row r="497" spans="1:7" x14ac:dyDescent="0.3">
      <c r="A497" s="19">
        <v>45809</v>
      </c>
      <c r="B497" s="2" t="s">
        <v>10</v>
      </c>
      <c r="C497" s="2">
        <v>5400</v>
      </c>
      <c r="D497" s="2" t="s">
        <v>49</v>
      </c>
      <c r="E497" s="2" t="s">
        <v>45</v>
      </c>
      <c r="F497" s="21">
        <v>-1.248</v>
      </c>
      <c r="G497" s="2" t="s">
        <v>69</v>
      </c>
    </row>
    <row r="498" spans="1:7" x14ac:dyDescent="0.3">
      <c r="A498" s="19">
        <v>45809</v>
      </c>
      <c r="B498" s="2" t="s">
        <v>11</v>
      </c>
      <c r="C498" s="2">
        <v>4000</v>
      </c>
      <c r="D498" s="2" t="s">
        <v>39</v>
      </c>
      <c r="E498" s="2" t="s">
        <v>40</v>
      </c>
      <c r="F498" s="21">
        <v>8.6709999999999994</v>
      </c>
      <c r="G498" s="2" t="s">
        <v>69</v>
      </c>
    </row>
    <row r="499" spans="1:7" x14ac:dyDescent="0.3">
      <c r="A499" s="19">
        <v>45809</v>
      </c>
      <c r="B499" s="2" t="s">
        <v>11</v>
      </c>
      <c r="C499" s="2">
        <v>4100</v>
      </c>
      <c r="D499" s="2" t="s">
        <v>42</v>
      </c>
      <c r="E499" s="2" t="s">
        <v>40</v>
      </c>
      <c r="F499" s="21">
        <v>0.53900000000000003</v>
      </c>
      <c r="G499" s="2" t="s">
        <v>69</v>
      </c>
    </row>
    <row r="500" spans="1:7" x14ac:dyDescent="0.3">
      <c r="A500" s="19">
        <v>45809</v>
      </c>
      <c r="B500" s="2" t="s">
        <v>11</v>
      </c>
      <c r="C500" s="2">
        <v>4200</v>
      </c>
      <c r="D500" s="2" t="s">
        <v>43</v>
      </c>
      <c r="E500" s="2" t="s">
        <v>40</v>
      </c>
      <c r="F500" s="21">
        <v>0.86899999999999999</v>
      </c>
      <c r="G500" s="2" t="s">
        <v>69</v>
      </c>
    </row>
    <row r="501" spans="1:7" x14ac:dyDescent="0.3">
      <c r="A501" s="19">
        <v>45809</v>
      </c>
      <c r="B501" s="2" t="s">
        <v>11</v>
      </c>
      <c r="C501" s="2">
        <v>5000</v>
      </c>
      <c r="D501" s="2" t="s">
        <v>44</v>
      </c>
      <c r="E501" s="2" t="s">
        <v>45</v>
      </c>
      <c r="F501" s="21">
        <v>-3.7749999999999999</v>
      </c>
      <c r="G501" s="2" t="s">
        <v>69</v>
      </c>
    </row>
    <row r="502" spans="1:7" x14ac:dyDescent="0.3">
      <c r="A502" s="19">
        <v>45809</v>
      </c>
      <c r="B502" s="2" t="s">
        <v>11</v>
      </c>
      <c r="C502" s="2">
        <v>5100</v>
      </c>
      <c r="D502" s="2" t="s">
        <v>46</v>
      </c>
      <c r="E502" s="2" t="s">
        <v>45</v>
      </c>
      <c r="F502" s="21">
        <v>-1.288</v>
      </c>
      <c r="G502" s="2" t="s">
        <v>69</v>
      </c>
    </row>
    <row r="503" spans="1:7" x14ac:dyDescent="0.3">
      <c r="A503" s="19">
        <v>45809</v>
      </c>
      <c r="B503" s="2" t="s">
        <v>11</v>
      </c>
      <c r="C503" s="2">
        <v>5200</v>
      </c>
      <c r="D503" s="2" t="s">
        <v>47</v>
      </c>
      <c r="E503" s="2" t="s">
        <v>45</v>
      </c>
      <c r="F503" s="21">
        <v>-1.0660000000000001</v>
      </c>
      <c r="G503" s="2" t="s">
        <v>69</v>
      </c>
    </row>
    <row r="504" spans="1:7" x14ac:dyDescent="0.3">
      <c r="A504" s="19">
        <v>45809</v>
      </c>
      <c r="B504" s="2" t="s">
        <v>11</v>
      </c>
      <c r="C504" s="2">
        <v>5300</v>
      </c>
      <c r="D504" s="2" t="s">
        <v>48</v>
      </c>
      <c r="E504" s="2" t="s">
        <v>45</v>
      </c>
      <c r="F504" s="21">
        <v>-0.66200000000000003</v>
      </c>
      <c r="G504" s="2" t="s">
        <v>69</v>
      </c>
    </row>
    <row r="505" spans="1:7" x14ac:dyDescent="0.3">
      <c r="A505" s="19">
        <v>45809</v>
      </c>
      <c r="B505" s="2" t="s">
        <v>11</v>
      </c>
      <c r="C505" s="2">
        <v>5400</v>
      </c>
      <c r="D505" s="2" t="s">
        <v>49</v>
      </c>
      <c r="E505" s="2" t="s">
        <v>45</v>
      </c>
      <c r="F505" s="21">
        <v>-0.75700000000000001</v>
      </c>
      <c r="G505" s="2" t="s">
        <v>69</v>
      </c>
    </row>
    <row r="506" spans="1:7" x14ac:dyDescent="0.3">
      <c r="A506" s="19">
        <v>45839</v>
      </c>
      <c r="B506" s="2" t="s">
        <v>5</v>
      </c>
      <c r="C506" s="2">
        <v>4000</v>
      </c>
      <c r="D506" s="2" t="s">
        <v>39</v>
      </c>
      <c r="E506" s="2" t="s">
        <v>40</v>
      </c>
      <c r="F506" s="21">
        <v>104.739</v>
      </c>
      <c r="G506" s="2" t="s">
        <v>70</v>
      </c>
    </row>
    <row r="507" spans="1:7" x14ac:dyDescent="0.3">
      <c r="A507" s="19">
        <v>45839</v>
      </c>
      <c r="B507" s="2" t="s">
        <v>5</v>
      </c>
      <c r="C507" s="2">
        <v>4100</v>
      </c>
      <c r="D507" s="2" t="s">
        <v>42</v>
      </c>
      <c r="E507" s="2" t="s">
        <v>40</v>
      </c>
      <c r="F507" s="21">
        <v>12.334</v>
      </c>
      <c r="G507" s="2" t="s">
        <v>70</v>
      </c>
    </row>
    <row r="508" spans="1:7" x14ac:dyDescent="0.3">
      <c r="A508" s="19">
        <v>45839</v>
      </c>
      <c r="B508" s="2" t="s">
        <v>5</v>
      </c>
      <c r="C508" s="2">
        <v>4200</v>
      </c>
      <c r="D508" s="2" t="s">
        <v>43</v>
      </c>
      <c r="E508" s="2" t="s">
        <v>40</v>
      </c>
      <c r="F508" s="21">
        <v>5.29</v>
      </c>
      <c r="G508" s="2" t="s">
        <v>70</v>
      </c>
    </row>
    <row r="509" spans="1:7" x14ac:dyDescent="0.3">
      <c r="A509" s="19">
        <v>45839</v>
      </c>
      <c r="B509" s="2" t="s">
        <v>5</v>
      </c>
      <c r="C509" s="2">
        <v>5000</v>
      </c>
      <c r="D509" s="2" t="s">
        <v>44</v>
      </c>
      <c r="E509" s="2" t="s">
        <v>45</v>
      </c>
      <c r="F509" s="21">
        <v>-40.113999999999997</v>
      </c>
      <c r="G509" s="2" t="s">
        <v>70</v>
      </c>
    </row>
    <row r="510" spans="1:7" x14ac:dyDescent="0.3">
      <c r="A510" s="19">
        <v>45839</v>
      </c>
      <c r="B510" s="2" t="s">
        <v>5</v>
      </c>
      <c r="C510" s="2">
        <v>5100</v>
      </c>
      <c r="D510" s="2" t="s">
        <v>46</v>
      </c>
      <c r="E510" s="2" t="s">
        <v>45</v>
      </c>
      <c r="F510" s="21">
        <v>-8.4019999999999992</v>
      </c>
      <c r="G510" s="2" t="s">
        <v>70</v>
      </c>
    </row>
    <row r="511" spans="1:7" x14ac:dyDescent="0.3">
      <c r="A511" s="19">
        <v>45839</v>
      </c>
      <c r="B511" s="2" t="s">
        <v>5</v>
      </c>
      <c r="C511" s="2">
        <v>5200</v>
      </c>
      <c r="D511" s="2" t="s">
        <v>47</v>
      </c>
      <c r="E511" s="2" t="s">
        <v>45</v>
      </c>
      <c r="F511" s="21">
        <v>-6.1840000000000002</v>
      </c>
      <c r="G511" s="2" t="s">
        <v>70</v>
      </c>
    </row>
    <row r="512" spans="1:7" x14ac:dyDescent="0.3">
      <c r="A512" s="19">
        <v>45839</v>
      </c>
      <c r="B512" s="2" t="s">
        <v>5</v>
      </c>
      <c r="C512" s="2">
        <v>5300</v>
      </c>
      <c r="D512" s="2" t="s">
        <v>48</v>
      </c>
      <c r="E512" s="2" t="s">
        <v>45</v>
      </c>
      <c r="F512" s="21">
        <v>-3.1459999999999999</v>
      </c>
      <c r="G512" s="2" t="s">
        <v>70</v>
      </c>
    </row>
    <row r="513" spans="1:7" x14ac:dyDescent="0.3">
      <c r="A513" s="19">
        <v>45839</v>
      </c>
      <c r="B513" s="2" t="s">
        <v>5</v>
      </c>
      <c r="C513" s="2">
        <v>5400</v>
      </c>
      <c r="D513" s="2" t="s">
        <v>49</v>
      </c>
      <c r="E513" s="2" t="s">
        <v>45</v>
      </c>
      <c r="F513" s="21">
        <v>-4.1580000000000004</v>
      </c>
      <c r="G513" s="2" t="s">
        <v>70</v>
      </c>
    </row>
    <row r="514" spans="1:7" x14ac:dyDescent="0.3">
      <c r="A514" s="19">
        <v>45839</v>
      </c>
      <c r="B514" s="2" t="s">
        <v>10</v>
      </c>
      <c r="C514" s="2">
        <v>4000</v>
      </c>
      <c r="D514" s="2" t="s">
        <v>39</v>
      </c>
      <c r="E514" s="2" t="s">
        <v>40</v>
      </c>
      <c r="F514" s="21">
        <v>18.696999999999999</v>
      </c>
      <c r="G514" s="2" t="s">
        <v>70</v>
      </c>
    </row>
    <row r="515" spans="1:7" x14ac:dyDescent="0.3">
      <c r="A515" s="19">
        <v>45839</v>
      </c>
      <c r="B515" s="2" t="s">
        <v>10</v>
      </c>
      <c r="C515" s="2">
        <v>4100</v>
      </c>
      <c r="D515" s="2" t="s">
        <v>42</v>
      </c>
      <c r="E515" s="2" t="s">
        <v>40</v>
      </c>
      <c r="F515" s="21">
        <v>2.0640000000000001</v>
      </c>
      <c r="G515" s="2" t="s">
        <v>70</v>
      </c>
    </row>
    <row r="516" spans="1:7" x14ac:dyDescent="0.3">
      <c r="A516" s="19">
        <v>45839</v>
      </c>
      <c r="B516" s="2" t="s">
        <v>10</v>
      </c>
      <c r="C516" s="2">
        <v>4200</v>
      </c>
      <c r="D516" s="2" t="s">
        <v>43</v>
      </c>
      <c r="E516" s="2" t="s">
        <v>40</v>
      </c>
      <c r="F516" s="21">
        <v>1.546</v>
      </c>
      <c r="G516" s="2" t="s">
        <v>70</v>
      </c>
    </row>
    <row r="517" spans="1:7" x14ac:dyDescent="0.3">
      <c r="A517" s="19">
        <v>45839</v>
      </c>
      <c r="B517" s="2" t="s">
        <v>10</v>
      </c>
      <c r="C517" s="2">
        <v>5000</v>
      </c>
      <c r="D517" s="2" t="s">
        <v>44</v>
      </c>
      <c r="E517" s="2" t="s">
        <v>45</v>
      </c>
      <c r="F517" s="21">
        <v>-9.2910000000000004</v>
      </c>
      <c r="G517" s="2" t="s">
        <v>70</v>
      </c>
    </row>
    <row r="518" spans="1:7" x14ac:dyDescent="0.3">
      <c r="A518" s="19">
        <v>45839</v>
      </c>
      <c r="B518" s="2" t="s">
        <v>10</v>
      </c>
      <c r="C518" s="2">
        <v>5100</v>
      </c>
      <c r="D518" s="2" t="s">
        <v>46</v>
      </c>
      <c r="E518" s="2" t="s">
        <v>45</v>
      </c>
      <c r="F518" s="21">
        <v>-4.1660000000000004</v>
      </c>
      <c r="G518" s="2" t="s">
        <v>70</v>
      </c>
    </row>
    <row r="519" spans="1:7" x14ac:dyDescent="0.3">
      <c r="A519" s="19">
        <v>45839</v>
      </c>
      <c r="B519" s="2" t="s">
        <v>10</v>
      </c>
      <c r="C519" s="2">
        <v>5200</v>
      </c>
      <c r="D519" s="2" t="s">
        <v>47</v>
      </c>
      <c r="E519" s="2" t="s">
        <v>45</v>
      </c>
      <c r="F519" s="21">
        <v>-2.649</v>
      </c>
      <c r="G519" s="2" t="s">
        <v>70</v>
      </c>
    </row>
    <row r="520" spans="1:7" x14ac:dyDescent="0.3">
      <c r="A520" s="19">
        <v>45839</v>
      </c>
      <c r="B520" s="2" t="s">
        <v>10</v>
      </c>
      <c r="C520" s="2">
        <v>5300</v>
      </c>
      <c r="D520" s="2" t="s">
        <v>48</v>
      </c>
      <c r="E520" s="2" t="s">
        <v>45</v>
      </c>
      <c r="F520" s="21">
        <v>-1.0469999999999999</v>
      </c>
      <c r="G520" s="2" t="s">
        <v>70</v>
      </c>
    </row>
    <row r="521" spans="1:7" x14ac:dyDescent="0.3">
      <c r="A521" s="19">
        <v>45839</v>
      </c>
      <c r="B521" s="2" t="s">
        <v>10</v>
      </c>
      <c r="C521" s="2">
        <v>5400</v>
      </c>
      <c r="D521" s="2" t="s">
        <v>49</v>
      </c>
      <c r="E521" s="2" t="s">
        <v>45</v>
      </c>
      <c r="F521" s="21">
        <v>-1.232</v>
      </c>
      <c r="G521" s="2" t="s">
        <v>70</v>
      </c>
    </row>
    <row r="522" spans="1:7" x14ac:dyDescent="0.3">
      <c r="A522" s="19">
        <v>45839</v>
      </c>
      <c r="B522" s="2" t="s">
        <v>11</v>
      </c>
      <c r="C522" s="2">
        <v>4000</v>
      </c>
      <c r="D522" s="2" t="s">
        <v>39</v>
      </c>
      <c r="E522" s="2" t="s">
        <v>40</v>
      </c>
      <c r="F522" s="21">
        <v>8.6129999999999995</v>
      </c>
      <c r="G522" s="2" t="s">
        <v>70</v>
      </c>
    </row>
    <row r="523" spans="1:7" x14ac:dyDescent="0.3">
      <c r="A523" s="19">
        <v>45839</v>
      </c>
      <c r="B523" s="2" t="s">
        <v>11</v>
      </c>
      <c r="C523" s="2">
        <v>4100</v>
      </c>
      <c r="D523" s="2" t="s">
        <v>42</v>
      </c>
      <c r="E523" s="2" t="s">
        <v>40</v>
      </c>
      <c r="F523" s="21">
        <v>0.51700000000000002</v>
      </c>
      <c r="G523" s="2" t="s">
        <v>70</v>
      </c>
    </row>
    <row r="524" spans="1:7" x14ac:dyDescent="0.3">
      <c r="A524" s="19">
        <v>45839</v>
      </c>
      <c r="B524" s="2" t="s">
        <v>11</v>
      </c>
      <c r="C524" s="2">
        <v>4200</v>
      </c>
      <c r="D524" s="2" t="s">
        <v>43</v>
      </c>
      <c r="E524" s="2" t="s">
        <v>40</v>
      </c>
      <c r="F524" s="21">
        <v>0.81899999999999995</v>
      </c>
      <c r="G524" s="2" t="s">
        <v>70</v>
      </c>
    </row>
    <row r="525" spans="1:7" x14ac:dyDescent="0.3">
      <c r="A525" s="19">
        <v>45839</v>
      </c>
      <c r="B525" s="2" t="s">
        <v>11</v>
      </c>
      <c r="C525" s="2">
        <v>5000</v>
      </c>
      <c r="D525" s="2" t="s">
        <v>44</v>
      </c>
      <c r="E525" s="2" t="s">
        <v>45</v>
      </c>
      <c r="F525" s="21">
        <v>-3.6110000000000002</v>
      </c>
      <c r="G525" s="2" t="s">
        <v>70</v>
      </c>
    </row>
    <row r="526" spans="1:7" x14ac:dyDescent="0.3">
      <c r="A526" s="19">
        <v>45839</v>
      </c>
      <c r="B526" s="2" t="s">
        <v>11</v>
      </c>
      <c r="C526" s="2">
        <v>5100</v>
      </c>
      <c r="D526" s="2" t="s">
        <v>46</v>
      </c>
      <c r="E526" s="2" t="s">
        <v>45</v>
      </c>
      <c r="F526" s="21">
        <v>-1.2310000000000001</v>
      </c>
      <c r="G526" s="2" t="s">
        <v>70</v>
      </c>
    </row>
    <row r="527" spans="1:7" x14ac:dyDescent="0.3">
      <c r="A527" s="19">
        <v>45839</v>
      </c>
      <c r="B527" s="2" t="s">
        <v>11</v>
      </c>
      <c r="C527" s="2">
        <v>5200</v>
      </c>
      <c r="D527" s="2" t="s">
        <v>47</v>
      </c>
      <c r="E527" s="2" t="s">
        <v>45</v>
      </c>
      <c r="F527" s="21">
        <v>-1.0680000000000001</v>
      </c>
      <c r="G527" s="2" t="s">
        <v>70</v>
      </c>
    </row>
    <row r="528" spans="1:7" x14ac:dyDescent="0.3">
      <c r="A528" s="19">
        <v>45839</v>
      </c>
      <c r="B528" s="2" t="s">
        <v>11</v>
      </c>
      <c r="C528" s="2">
        <v>5300</v>
      </c>
      <c r="D528" s="2" t="s">
        <v>48</v>
      </c>
      <c r="E528" s="2" t="s">
        <v>45</v>
      </c>
      <c r="F528" s="21">
        <v>-0.628</v>
      </c>
      <c r="G528" s="2" t="s">
        <v>70</v>
      </c>
    </row>
    <row r="529" spans="1:7" x14ac:dyDescent="0.3">
      <c r="A529" s="19">
        <v>45839</v>
      </c>
      <c r="B529" s="2" t="s">
        <v>11</v>
      </c>
      <c r="C529" s="2">
        <v>5400</v>
      </c>
      <c r="D529" s="2" t="s">
        <v>49</v>
      </c>
      <c r="E529" s="2" t="s">
        <v>45</v>
      </c>
      <c r="F529" s="21">
        <v>-0.74299999999999999</v>
      </c>
      <c r="G529" s="2" t="s">
        <v>70</v>
      </c>
    </row>
    <row r="530" spans="1:7" x14ac:dyDescent="0.3">
      <c r="A530" s="19">
        <v>45870</v>
      </c>
      <c r="B530" s="2" t="s">
        <v>5</v>
      </c>
      <c r="C530" s="2">
        <v>4000</v>
      </c>
      <c r="D530" s="2" t="s">
        <v>39</v>
      </c>
      <c r="E530" s="2" t="s">
        <v>40</v>
      </c>
      <c r="F530" s="21">
        <v>97.643000000000001</v>
      </c>
      <c r="G530" s="2" t="s">
        <v>71</v>
      </c>
    </row>
    <row r="531" spans="1:7" x14ac:dyDescent="0.3">
      <c r="A531" s="19">
        <v>45870</v>
      </c>
      <c r="B531" s="2" t="s">
        <v>5</v>
      </c>
      <c r="C531" s="2">
        <v>4100</v>
      </c>
      <c r="D531" s="2" t="s">
        <v>42</v>
      </c>
      <c r="E531" s="2" t="s">
        <v>40</v>
      </c>
      <c r="F531" s="21">
        <v>12.872</v>
      </c>
      <c r="G531" s="2" t="s">
        <v>71</v>
      </c>
    </row>
    <row r="532" spans="1:7" x14ac:dyDescent="0.3">
      <c r="A532" s="19">
        <v>45870</v>
      </c>
      <c r="B532" s="2" t="s">
        <v>5</v>
      </c>
      <c r="C532" s="2">
        <v>4200</v>
      </c>
      <c r="D532" s="2" t="s">
        <v>43</v>
      </c>
      <c r="E532" s="2" t="s">
        <v>40</v>
      </c>
      <c r="F532" s="21">
        <v>5.4649999999999999</v>
      </c>
      <c r="G532" s="2" t="s">
        <v>71</v>
      </c>
    </row>
    <row r="533" spans="1:7" x14ac:dyDescent="0.3">
      <c r="A533" s="19">
        <v>45870</v>
      </c>
      <c r="B533" s="2" t="s">
        <v>5</v>
      </c>
      <c r="C533" s="2">
        <v>5000</v>
      </c>
      <c r="D533" s="2" t="s">
        <v>44</v>
      </c>
      <c r="E533" s="2" t="s">
        <v>45</v>
      </c>
      <c r="F533" s="21">
        <v>-41.9</v>
      </c>
      <c r="G533" s="2" t="s">
        <v>71</v>
      </c>
    </row>
    <row r="534" spans="1:7" x14ac:dyDescent="0.3">
      <c r="A534" s="19">
        <v>45870</v>
      </c>
      <c r="B534" s="2" t="s">
        <v>5</v>
      </c>
      <c r="C534" s="2">
        <v>5100</v>
      </c>
      <c r="D534" s="2" t="s">
        <v>46</v>
      </c>
      <c r="E534" s="2" t="s">
        <v>45</v>
      </c>
      <c r="F534" s="21">
        <v>-8.4450000000000003</v>
      </c>
      <c r="G534" s="2" t="s">
        <v>71</v>
      </c>
    </row>
    <row r="535" spans="1:7" x14ac:dyDescent="0.3">
      <c r="A535" s="19">
        <v>45870</v>
      </c>
      <c r="B535" s="2" t="s">
        <v>5</v>
      </c>
      <c r="C535" s="2">
        <v>5200</v>
      </c>
      <c r="D535" s="2" t="s">
        <v>47</v>
      </c>
      <c r="E535" s="2" t="s">
        <v>45</v>
      </c>
      <c r="F535" s="21">
        <v>-6.3840000000000003</v>
      </c>
      <c r="G535" s="2" t="s">
        <v>71</v>
      </c>
    </row>
    <row r="536" spans="1:7" x14ac:dyDescent="0.3">
      <c r="A536" s="19">
        <v>45870</v>
      </c>
      <c r="B536" s="2" t="s">
        <v>5</v>
      </c>
      <c r="C536" s="2">
        <v>5300</v>
      </c>
      <c r="D536" s="2" t="s">
        <v>48</v>
      </c>
      <c r="E536" s="2" t="s">
        <v>45</v>
      </c>
      <c r="F536" s="21">
        <v>-3.226</v>
      </c>
      <c r="G536" s="2" t="s">
        <v>71</v>
      </c>
    </row>
    <row r="537" spans="1:7" x14ac:dyDescent="0.3">
      <c r="A537" s="19">
        <v>45870</v>
      </c>
      <c r="B537" s="2" t="s">
        <v>5</v>
      </c>
      <c r="C537" s="2">
        <v>5400</v>
      </c>
      <c r="D537" s="2" t="s">
        <v>49</v>
      </c>
      <c r="E537" s="2" t="s">
        <v>45</v>
      </c>
      <c r="F537" s="21">
        <v>-4.1349999999999998</v>
      </c>
      <c r="G537" s="2" t="s">
        <v>71</v>
      </c>
    </row>
    <row r="538" spans="1:7" x14ac:dyDescent="0.3">
      <c r="A538" s="19">
        <v>45870</v>
      </c>
      <c r="B538" s="2" t="s">
        <v>10</v>
      </c>
      <c r="C538" s="2">
        <v>4000</v>
      </c>
      <c r="D538" s="2" t="s">
        <v>39</v>
      </c>
      <c r="E538" s="2" t="s">
        <v>40</v>
      </c>
      <c r="F538" s="21">
        <v>19.78</v>
      </c>
      <c r="G538" s="2" t="s">
        <v>71</v>
      </c>
    </row>
    <row r="539" spans="1:7" x14ac:dyDescent="0.3">
      <c r="A539" s="19">
        <v>45870</v>
      </c>
      <c r="B539" s="2" t="s">
        <v>10</v>
      </c>
      <c r="C539" s="2">
        <v>4100</v>
      </c>
      <c r="D539" s="2" t="s">
        <v>42</v>
      </c>
      <c r="E539" s="2" t="s">
        <v>40</v>
      </c>
      <c r="F539" s="21">
        <v>2.133</v>
      </c>
      <c r="G539" s="2" t="s">
        <v>71</v>
      </c>
    </row>
    <row r="540" spans="1:7" x14ac:dyDescent="0.3">
      <c r="A540" s="19">
        <v>45870</v>
      </c>
      <c r="B540" s="2" t="s">
        <v>10</v>
      </c>
      <c r="C540" s="2">
        <v>4200</v>
      </c>
      <c r="D540" s="2" t="s">
        <v>43</v>
      </c>
      <c r="E540" s="2" t="s">
        <v>40</v>
      </c>
      <c r="F540" s="21">
        <v>1.5629999999999999</v>
      </c>
      <c r="G540" s="2" t="s">
        <v>71</v>
      </c>
    </row>
    <row r="541" spans="1:7" x14ac:dyDescent="0.3">
      <c r="A541" s="19">
        <v>45870</v>
      </c>
      <c r="B541" s="2" t="s">
        <v>10</v>
      </c>
      <c r="C541" s="2">
        <v>5000</v>
      </c>
      <c r="D541" s="2" t="s">
        <v>44</v>
      </c>
      <c r="E541" s="2" t="s">
        <v>45</v>
      </c>
      <c r="F541" s="21">
        <v>-9.5619999999999994</v>
      </c>
      <c r="G541" s="2" t="s">
        <v>71</v>
      </c>
    </row>
    <row r="542" spans="1:7" x14ac:dyDescent="0.3">
      <c r="A542" s="19">
        <v>45870</v>
      </c>
      <c r="B542" s="2" t="s">
        <v>10</v>
      </c>
      <c r="C542" s="2">
        <v>5100</v>
      </c>
      <c r="D542" s="2" t="s">
        <v>46</v>
      </c>
      <c r="E542" s="2" t="s">
        <v>45</v>
      </c>
      <c r="F542" s="21">
        <v>-4.1070000000000002</v>
      </c>
      <c r="G542" s="2" t="s">
        <v>71</v>
      </c>
    </row>
    <row r="543" spans="1:7" x14ac:dyDescent="0.3">
      <c r="A543" s="19">
        <v>45870</v>
      </c>
      <c r="B543" s="2" t="s">
        <v>10</v>
      </c>
      <c r="C543" s="2">
        <v>5200</v>
      </c>
      <c r="D543" s="2" t="s">
        <v>47</v>
      </c>
      <c r="E543" s="2" t="s">
        <v>45</v>
      </c>
      <c r="F543" s="21">
        <v>-2.58</v>
      </c>
      <c r="G543" s="2" t="s">
        <v>71</v>
      </c>
    </row>
    <row r="544" spans="1:7" x14ac:dyDescent="0.3">
      <c r="A544" s="19">
        <v>45870</v>
      </c>
      <c r="B544" s="2" t="s">
        <v>10</v>
      </c>
      <c r="C544" s="2">
        <v>5300</v>
      </c>
      <c r="D544" s="2" t="s">
        <v>48</v>
      </c>
      <c r="E544" s="2" t="s">
        <v>45</v>
      </c>
      <c r="F544" s="21">
        <v>-1.0760000000000001</v>
      </c>
      <c r="G544" s="2" t="s">
        <v>71</v>
      </c>
    </row>
    <row r="545" spans="1:7" x14ac:dyDescent="0.3">
      <c r="A545" s="19">
        <v>45870</v>
      </c>
      <c r="B545" s="2" t="s">
        <v>10</v>
      </c>
      <c r="C545" s="2">
        <v>5400</v>
      </c>
      <c r="D545" s="2" t="s">
        <v>49</v>
      </c>
      <c r="E545" s="2" t="s">
        <v>45</v>
      </c>
      <c r="F545" s="21">
        <v>-1.292</v>
      </c>
      <c r="G545" s="2" t="s">
        <v>71</v>
      </c>
    </row>
    <row r="546" spans="1:7" x14ac:dyDescent="0.3">
      <c r="A546" s="19">
        <v>45870</v>
      </c>
      <c r="B546" s="2" t="s">
        <v>11</v>
      </c>
      <c r="C546" s="2">
        <v>4000</v>
      </c>
      <c r="D546" s="2" t="s">
        <v>39</v>
      </c>
      <c r="E546" s="2" t="s">
        <v>40</v>
      </c>
      <c r="F546" s="21">
        <v>8.3019999999999996</v>
      </c>
      <c r="G546" s="2" t="s">
        <v>71</v>
      </c>
    </row>
    <row r="547" spans="1:7" x14ac:dyDescent="0.3">
      <c r="A547" s="19">
        <v>45870</v>
      </c>
      <c r="B547" s="2" t="s">
        <v>11</v>
      </c>
      <c r="C547" s="2">
        <v>4100</v>
      </c>
      <c r="D547" s="2" t="s">
        <v>42</v>
      </c>
      <c r="E547" s="2" t="s">
        <v>40</v>
      </c>
      <c r="F547" s="21">
        <v>0.54400000000000004</v>
      </c>
      <c r="G547" s="2" t="s">
        <v>71</v>
      </c>
    </row>
    <row r="548" spans="1:7" x14ac:dyDescent="0.3">
      <c r="A548" s="19">
        <v>45870</v>
      </c>
      <c r="B548" s="2" t="s">
        <v>11</v>
      </c>
      <c r="C548" s="2">
        <v>4200</v>
      </c>
      <c r="D548" s="2" t="s">
        <v>43</v>
      </c>
      <c r="E548" s="2" t="s">
        <v>40</v>
      </c>
      <c r="F548" s="21">
        <v>0.86599999999999999</v>
      </c>
      <c r="G548" s="2" t="s">
        <v>71</v>
      </c>
    </row>
    <row r="549" spans="1:7" x14ac:dyDescent="0.3">
      <c r="A549" s="19">
        <v>45870</v>
      </c>
      <c r="B549" s="2" t="s">
        <v>11</v>
      </c>
      <c r="C549" s="2">
        <v>5000</v>
      </c>
      <c r="D549" s="2" t="s">
        <v>44</v>
      </c>
      <c r="E549" s="2" t="s">
        <v>45</v>
      </c>
      <c r="F549" s="21">
        <v>-3.835</v>
      </c>
      <c r="G549" s="2" t="s">
        <v>71</v>
      </c>
    </row>
    <row r="550" spans="1:7" x14ac:dyDescent="0.3">
      <c r="A550" s="19">
        <v>45870</v>
      </c>
      <c r="B550" s="2" t="s">
        <v>11</v>
      </c>
      <c r="C550" s="2">
        <v>5100</v>
      </c>
      <c r="D550" s="2" t="s">
        <v>46</v>
      </c>
      <c r="E550" s="2" t="s">
        <v>45</v>
      </c>
      <c r="F550" s="21">
        <v>-1.262</v>
      </c>
      <c r="G550" s="2" t="s">
        <v>71</v>
      </c>
    </row>
    <row r="551" spans="1:7" x14ac:dyDescent="0.3">
      <c r="A551" s="19">
        <v>45870</v>
      </c>
      <c r="B551" s="2" t="s">
        <v>11</v>
      </c>
      <c r="C551" s="2">
        <v>5200</v>
      </c>
      <c r="D551" s="2" t="s">
        <v>47</v>
      </c>
      <c r="E551" s="2" t="s">
        <v>45</v>
      </c>
      <c r="F551" s="21">
        <v>-1.077</v>
      </c>
      <c r="G551" s="2" t="s">
        <v>71</v>
      </c>
    </row>
    <row r="552" spans="1:7" x14ac:dyDescent="0.3">
      <c r="A552" s="19">
        <v>45870</v>
      </c>
      <c r="B552" s="2" t="s">
        <v>11</v>
      </c>
      <c r="C552" s="2">
        <v>5300</v>
      </c>
      <c r="D552" s="2" t="s">
        <v>48</v>
      </c>
      <c r="E552" s="2" t="s">
        <v>45</v>
      </c>
      <c r="F552" s="21">
        <v>-0.64200000000000002</v>
      </c>
      <c r="G552" s="2" t="s">
        <v>71</v>
      </c>
    </row>
    <row r="553" spans="1:7" x14ac:dyDescent="0.3">
      <c r="A553" s="19">
        <v>45870</v>
      </c>
      <c r="B553" s="2" t="s">
        <v>11</v>
      </c>
      <c r="C553" s="2">
        <v>5400</v>
      </c>
      <c r="D553" s="2" t="s">
        <v>49</v>
      </c>
      <c r="E553" s="2" t="s">
        <v>45</v>
      </c>
      <c r="F553" s="21">
        <v>-0.76</v>
      </c>
      <c r="G553" s="2" t="s">
        <v>71</v>
      </c>
    </row>
    <row r="554" spans="1:7" x14ac:dyDescent="0.3">
      <c r="A554" s="19">
        <v>45901</v>
      </c>
      <c r="B554" s="2" t="s">
        <v>5</v>
      </c>
      <c r="C554" s="2">
        <v>4000</v>
      </c>
      <c r="D554" s="2" t="s">
        <v>39</v>
      </c>
      <c r="E554" s="2" t="s">
        <v>40</v>
      </c>
      <c r="F554" s="21">
        <v>104.67700000000001</v>
      </c>
      <c r="G554" s="2" t="s">
        <v>72</v>
      </c>
    </row>
    <row r="555" spans="1:7" x14ac:dyDescent="0.3">
      <c r="A555" s="19">
        <v>45901</v>
      </c>
      <c r="B555" s="2" t="s">
        <v>5</v>
      </c>
      <c r="C555" s="2">
        <v>4100</v>
      </c>
      <c r="D555" s="2" t="s">
        <v>42</v>
      </c>
      <c r="E555" s="2" t="s">
        <v>40</v>
      </c>
      <c r="F555" s="21">
        <v>13.032</v>
      </c>
      <c r="G555" s="2" t="s">
        <v>72</v>
      </c>
    </row>
    <row r="556" spans="1:7" x14ac:dyDescent="0.3">
      <c r="A556" s="19">
        <v>45901</v>
      </c>
      <c r="B556" s="2" t="s">
        <v>5</v>
      </c>
      <c r="C556" s="2">
        <v>4200</v>
      </c>
      <c r="D556" s="2" t="s">
        <v>43</v>
      </c>
      <c r="E556" s="2" t="s">
        <v>40</v>
      </c>
      <c r="F556" s="21">
        <v>5.2910000000000004</v>
      </c>
      <c r="G556" s="2" t="s">
        <v>72</v>
      </c>
    </row>
    <row r="557" spans="1:7" x14ac:dyDescent="0.3">
      <c r="A557" s="19">
        <v>45901</v>
      </c>
      <c r="B557" s="2" t="s">
        <v>5</v>
      </c>
      <c r="C557" s="2">
        <v>5000</v>
      </c>
      <c r="D557" s="2" t="s">
        <v>44</v>
      </c>
      <c r="E557" s="2" t="s">
        <v>45</v>
      </c>
      <c r="F557" s="21">
        <v>-41.767000000000003</v>
      </c>
      <c r="G557" s="2" t="s">
        <v>72</v>
      </c>
    </row>
    <row r="558" spans="1:7" x14ac:dyDescent="0.3">
      <c r="A558" s="19">
        <v>45901</v>
      </c>
      <c r="B558" s="2" t="s">
        <v>5</v>
      </c>
      <c r="C558" s="2">
        <v>5100</v>
      </c>
      <c r="D558" s="2" t="s">
        <v>46</v>
      </c>
      <c r="E558" s="2" t="s">
        <v>45</v>
      </c>
      <c r="F558" s="21">
        <v>-8.6910000000000007</v>
      </c>
      <c r="G558" s="2" t="s">
        <v>72</v>
      </c>
    </row>
    <row r="559" spans="1:7" x14ac:dyDescent="0.3">
      <c r="A559" s="19">
        <v>45901</v>
      </c>
      <c r="B559" s="2" t="s">
        <v>5</v>
      </c>
      <c r="C559" s="2">
        <v>5200</v>
      </c>
      <c r="D559" s="2" t="s">
        <v>47</v>
      </c>
      <c r="E559" s="2" t="s">
        <v>45</v>
      </c>
      <c r="F559" s="21">
        <v>-6.508</v>
      </c>
      <c r="G559" s="2" t="s">
        <v>72</v>
      </c>
    </row>
    <row r="560" spans="1:7" x14ac:dyDescent="0.3">
      <c r="A560" s="19">
        <v>45901</v>
      </c>
      <c r="B560" s="2" t="s">
        <v>5</v>
      </c>
      <c r="C560" s="2">
        <v>5300</v>
      </c>
      <c r="D560" s="2" t="s">
        <v>48</v>
      </c>
      <c r="E560" s="2" t="s">
        <v>45</v>
      </c>
      <c r="F560" s="21">
        <v>-3.3239999999999998</v>
      </c>
      <c r="G560" s="2" t="s">
        <v>72</v>
      </c>
    </row>
    <row r="561" spans="1:7" x14ac:dyDescent="0.3">
      <c r="A561" s="19">
        <v>45901</v>
      </c>
      <c r="B561" s="2" t="s">
        <v>5</v>
      </c>
      <c r="C561" s="2">
        <v>5400</v>
      </c>
      <c r="D561" s="2" t="s">
        <v>49</v>
      </c>
      <c r="E561" s="2" t="s">
        <v>45</v>
      </c>
      <c r="F561" s="21">
        <v>-4.4409999999999998</v>
      </c>
      <c r="G561" s="2" t="s">
        <v>72</v>
      </c>
    </row>
    <row r="562" spans="1:7" x14ac:dyDescent="0.3">
      <c r="A562" s="19">
        <v>45901</v>
      </c>
      <c r="B562" s="2" t="s">
        <v>10</v>
      </c>
      <c r="C562" s="2">
        <v>4000</v>
      </c>
      <c r="D562" s="2" t="s">
        <v>39</v>
      </c>
      <c r="E562" s="2" t="s">
        <v>40</v>
      </c>
      <c r="F562" s="21">
        <v>18.582999999999998</v>
      </c>
      <c r="G562" s="2" t="s">
        <v>72</v>
      </c>
    </row>
    <row r="563" spans="1:7" x14ac:dyDescent="0.3">
      <c r="A563" s="19">
        <v>45901</v>
      </c>
      <c r="B563" s="2" t="s">
        <v>10</v>
      </c>
      <c r="C563" s="2">
        <v>4100</v>
      </c>
      <c r="D563" s="2" t="s">
        <v>42</v>
      </c>
      <c r="E563" s="2" t="s">
        <v>40</v>
      </c>
      <c r="F563" s="21">
        <v>2.1579999999999999</v>
      </c>
      <c r="G563" s="2" t="s">
        <v>72</v>
      </c>
    </row>
    <row r="564" spans="1:7" x14ac:dyDescent="0.3">
      <c r="A564" s="19">
        <v>45901</v>
      </c>
      <c r="B564" s="2" t="s">
        <v>10</v>
      </c>
      <c r="C564" s="2">
        <v>4200</v>
      </c>
      <c r="D564" s="2" t="s">
        <v>43</v>
      </c>
      <c r="E564" s="2" t="s">
        <v>40</v>
      </c>
      <c r="F564" s="21">
        <v>1.6619999999999999</v>
      </c>
      <c r="G564" s="2" t="s">
        <v>72</v>
      </c>
    </row>
    <row r="565" spans="1:7" x14ac:dyDescent="0.3">
      <c r="A565" s="19">
        <v>45901</v>
      </c>
      <c r="B565" s="2" t="s">
        <v>10</v>
      </c>
      <c r="C565" s="2">
        <v>5000</v>
      </c>
      <c r="D565" s="2" t="s">
        <v>44</v>
      </c>
      <c r="E565" s="2" t="s">
        <v>45</v>
      </c>
      <c r="F565" s="21">
        <v>-9.9760000000000009</v>
      </c>
      <c r="G565" s="2" t="s">
        <v>72</v>
      </c>
    </row>
    <row r="566" spans="1:7" x14ac:dyDescent="0.3">
      <c r="A566" s="19">
        <v>45901</v>
      </c>
      <c r="B566" s="2" t="s">
        <v>10</v>
      </c>
      <c r="C566" s="2">
        <v>5100</v>
      </c>
      <c r="D566" s="2" t="s">
        <v>46</v>
      </c>
      <c r="E566" s="2" t="s">
        <v>45</v>
      </c>
      <c r="F566" s="21">
        <v>-4.1870000000000003</v>
      </c>
      <c r="G566" s="2" t="s">
        <v>72</v>
      </c>
    </row>
    <row r="567" spans="1:7" x14ac:dyDescent="0.3">
      <c r="A567" s="19">
        <v>45901</v>
      </c>
      <c r="B567" s="2" t="s">
        <v>10</v>
      </c>
      <c r="C567" s="2">
        <v>5200</v>
      </c>
      <c r="D567" s="2" t="s">
        <v>47</v>
      </c>
      <c r="E567" s="2" t="s">
        <v>45</v>
      </c>
      <c r="F567" s="21">
        <v>-2.573</v>
      </c>
      <c r="G567" s="2" t="s">
        <v>72</v>
      </c>
    </row>
    <row r="568" spans="1:7" x14ac:dyDescent="0.3">
      <c r="A568" s="19">
        <v>45901</v>
      </c>
      <c r="B568" s="2" t="s">
        <v>10</v>
      </c>
      <c r="C568" s="2">
        <v>5300</v>
      </c>
      <c r="D568" s="2" t="s">
        <v>48</v>
      </c>
      <c r="E568" s="2" t="s">
        <v>45</v>
      </c>
      <c r="F568" s="21">
        <v>-1.0920000000000001</v>
      </c>
      <c r="G568" s="2" t="s">
        <v>72</v>
      </c>
    </row>
    <row r="569" spans="1:7" x14ac:dyDescent="0.3">
      <c r="A569" s="19">
        <v>45901</v>
      </c>
      <c r="B569" s="2" t="s">
        <v>10</v>
      </c>
      <c r="C569" s="2">
        <v>5400</v>
      </c>
      <c r="D569" s="2" t="s">
        <v>49</v>
      </c>
      <c r="E569" s="2" t="s">
        <v>45</v>
      </c>
      <c r="F569" s="21">
        <v>-1.258</v>
      </c>
      <c r="G569" s="2" t="s">
        <v>72</v>
      </c>
    </row>
    <row r="570" spans="1:7" x14ac:dyDescent="0.3">
      <c r="A570" s="19">
        <v>45901</v>
      </c>
      <c r="B570" s="2" t="s">
        <v>11</v>
      </c>
      <c r="C570" s="2">
        <v>4000</v>
      </c>
      <c r="D570" s="2" t="s">
        <v>39</v>
      </c>
      <c r="E570" s="2" t="s">
        <v>40</v>
      </c>
      <c r="F570" s="21">
        <v>8.6489999999999991</v>
      </c>
      <c r="G570" s="2" t="s">
        <v>72</v>
      </c>
    </row>
    <row r="571" spans="1:7" x14ac:dyDescent="0.3">
      <c r="A571" s="19">
        <v>45901</v>
      </c>
      <c r="B571" s="2" t="s">
        <v>11</v>
      </c>
      <c r="C571" s="2">
        <v>4100</v>
      </c>
      <c r="D571" s="2" t="s">
        <v>42</v>
      </c>
      <c r="E571" s="2" t="s">
        <v>40</v>
      </c>
      <c r="F571" s="21">
        <v>0.55100000000000005</v>
      </c>
      <c r="G571" s="2" t="s">
        <v>72</v>
      </c>
    </row>
    <row r="572" spans="1:7" x14ac:dyDescent="0.3">
      <c r="A572" s="19">
        <v>45901</v>
      </c>
      <c r="B572" s="2" t="s">
        <v>11</v>
      </c>
      <c r="C572" s="2">
        <v>4200</v>
      </c>
      <c r="D572" s="2" t="s">
        <v>43</v>
      </c>
      <c r="E572" s="2" t="s">
        <v>40</v>
      </c>
      <c r="F572" s="21">
        <v>0.82599999999999996</v>
      </c>
      <c r="G572" s="2" t="s">
        <v>72</v>
      </c>
    </row>
    <row r="573" spans="1:7" x14ac:dyDescent="0.3">
      <c r="A573" s="19">
        <v>45901</v>
      </c>
      <c r="B573" s="2" t="s">
        <v>11</v>
      </c>
      <c r="C573" s="2">
        <v>5000</v>
      </c>
      <c r="D573" s="2" t="s">
        <v>44</v>
      </c>
      <c r="E573" s="2" t="s">
        <v>45</v>
      </c>
      <c r="F573" s="21">
        <v>-3.6480000000000001</v>
      </c>
      <c r="G573" s="2" t="s">
        <v>72</v>
      </c>
    </row>
    <row r="574" spans="1:7" x14ac:dyDescent="0.3">
      <c r="A574" s="19">
        <v>45901</v>
      </c>
      <c r="B574" s="2" t="s">
        <v>11</v>
      </c>
      <c r="C574" s="2">
        <v>5100</v>
      </c>
      <c r="D574" s="2" t="s">
        <v>46</v>
      </c>
      <c r="E574" s="2" t="s">
        <v>45</v>
      </c>
      <c r="F574" s="21">
        <v>-1.3109999999999999</v>
      </c>
      <c r="G574" s="2" t="s">
        <v>72</v>
      </c>
    </row>
    <row r="575" spans="1:7" x14ac:dyDescent="0.3">
      <c r="A575" s="19">
        <v>45901</v>
      </c>
      <c r="B575" s="2" t="s">
        <v>11</v>
      </c>
      <c r="C575" s="2">
        <v>5200</v>
      </c>
      <c r="D575" s="2" t="s">
        <v>47</v>
      </c>
      <c r="E575" s="2" t="s">
        <v>45</v>
      </c>
      <c r="F575" s="21">
        <v>-1.036</v>
      </c>
      <c r="G575" s="2" t="s">
        <v>72</v>
      </c>
    </row>
    <row r="576" spans="1:7" x14ac:dyDescent="0.3">
      <c r="A576" s="19">
        <v>45901</v>
      </c>
      <c r="B576" s="2" t="s">
        <v>11</v>
      </c>
      <c r="C576" s="2">
        <v>5300</v>
      </c>
      <c r="D576" s="2" t="s">
        <v>48</v>
      </c>
      <c r="E576" s="2" t="s">
        <v>45</v>
      </c>
      <c r="F576" s="21">
        <v>-0.621</v>
      </c>
      <c r="G576" s="2" t="s">
        <v>72</v>
      </c>
    </row>
    <row r="577" spans="1:7" x14ac:dyDescent="0.3">
      <c r="A577" s="19">
        <v>45901</v>
      </c>
      <c r="B577" s="2" t="s">
        <v>11</v>
      </c>
      <c r="C577" s="2">
        <v>5400</v>
      </c>
      <c r="D577" s="2" t="s">
        <v>49</v>
      </c>
      <c r="E577" s="2" t="s">
        <v>45</v>
      </c>
      <c r="F577" s="21">
        <v>-0.76800000000000002</v>
      </c>
      <c r="G577" s="2" t="s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6AF0-E403-41AD-BD35-0095567439EE}">
  <sheetPr>
    <tabColor rgb="FFA6A6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77734375" customWidth="1"/>
    <col min="2" max="2" width="45.33203125" customWidth="1"/>
    <col min="3" max="3" width="24.109375" customWidth="1"/>
    <col min="4" max="4" width="20.33203125" customWidth="1"/>
    <col min="5" max="5" width="32.44140625" customWidth="1"/>
    <col min="6" max="6" width="16.6640625" customWidth="1"/>
    <col min="7" max="7" width="32.44140625" customWidth="1"/>
  </cols>
  <sheetData>
    <row r="1" spans="1:7" x14ac:dyDescent="0.3">
      <c r="A1" s="4" t="s">
        <v>0</v>
      </c>
      <c r="B1" s="4" t="s">
        <v>73</v>
      </c>
      <c r="C1" s="4" t="s">
        <v>1</v>
      </c>
      <c r="D1" s="4" t="s">
        <v>2</v>
      </c>
      <c r="E1" s="4" t="s">
        <v>74</v>
      </c>
      <c r="F1" s="4" t="s">
        <v>75</v>
      </c>
      <c r="G1" s="4" t="s">
        <v>4</v>
      </c>
    </row>
    <row r="2" spans="1:7" x14ac:dyDescent="0.3">
      <c r="A2" s="19">
        <v>45870</v>
      </c>
      <c r="B2" s="2" t="s">
        <v>76</v>
      </c>
      <c r="C2" s="2" t="s">
        <v>5</v>
      </c>
      <c r="D2" s="2" t="s">
        <v>6</v>
      </c>
      <c r="E2" s="20">
        <v>62.073</v>
      </c>
      <c r="F2" s="22">
        <v>0.08</v>
      </c>
      <c r="G2" s="2" t="s">
        <v>77</v>
      </c>
    </row>
    <row r="3" spans="1:7" x14ac:dyDescent="0.3">
      <c r="A3" s="19">
        <v>45870</v>
      </c>
      <c r="B3" s="2" t="s">
        <v>78</v>
      </c>
      <c r="C3" s="2" t="s">
        <v>5</v>
      </c>
      <c r="D3" s="2" t="s">
        <v>6</v>
      </c>
      <c r="E3" s="20">
        <v>48.011000000000003</v>
      </c>
      <c r="F3" s="22">
        <v>-0.45</v>
      </c>
      <c r="G3" s="2" t="s">
        <v>77</v>
      </c>
    </row>
    <row r="4" spans="1:7" x14ac:dyDescent="0.3">
      <c r="A4" s="19">
        <v>45870</v>
      </c>
      <c r="B4" s="2" t="s">
        <v>79</v>
      </c>
      <c r="C4" s="2" t="s">
        <v>5</v>
      </c>
      <c r="D4" s="2" t="s">
        <v>6</v>
      </c>
      <c r="E4" s="20">
        <v>41.798000000000002</v>
      </c>
      <c r="F4" s="22">
        <v>-0.09</v>
      </c>
      <c r="G4" s="2" t="s">
        <v>77</v>
      </c>
    </row>
    <row r="5" spans="1:7" x14ac:dyDescent="0.3">
      <c r="A5" s="19">
        <v>45870</v>
      </c>
      <c r="B5" s="2" t="s">
        <v>80</v>
      </c>
      <c r="C5" s="2" t="s">
        <v>5</v>
      </c>
      <c r="D5" s="2" t="s">
        <v>6</v>
      </c>
      <c r="E5" s="20">
        <v>38.695</v>
      </c>
      <c r="F5" s="22">
        <v>-0.24</v>
      </c>
      <c r="G5" s="2" t="s">
        <v>77</v>
      </c>
    </row>
    <row r="6" spans="1:7" x14ac:dyDescent="0.3">
      <c r="A6" s="19">
        <v>45870</v>
      </c>
      <c r="B6" s="2" t="s">
        <v>81</v>
      </c>
      <c r="C6" s="2" t="s">
        <v>5</v>
      </c>
      <c r="D6" s="2" t="s">
        <v>6</v>
      </c>
      <c r="E6" s="20">
        <v>24.594000000000001</v>
      </c>
      <c r="F6" s="22">
        <v>0.43</v>
      </c>
      <c r="G6" s="2" t="s">
        <v>77</v>
      </c>
    </row>
    <row r="7" spans="1:7" x14ac:dyDescent="0.3">
      <c r="A7" s="19">
        <v>45870</v>
      </c>
      <c r="B7" s="2" t="s">
        <v>82</v>
      </c>
      <c r="C7" s="2" t="s">
        <v>5</v>
      </c>
      <c r="D7" s="2" t="s">
        <v>8</v>
      </c>
      <c r="E7" s="20">
        <v>14.335000000000001</v>
      </c>
      <c r="F7" s="22">
        <v>-0.89</v>
      </c>
      <c r="G7" s="2" t="s">
        <v>77</v>
      </c>
    </row>
    <row r="8" spans="1:7" x14ac:dyDescent="0.3">
      <c r="A8" s="19">
        <v>45870</v>
      </c>
      <c r="B8" s="2" t="s">
        <v>83</v>
      </c>
      <c r="C8" s="2" t="s">
        <v>5</v>
      </c>
      <c r="D8" s="2" t="s">
        <v>8</v>
      </c>
      <c r="E8" s="20">
        <v>8.7910000000000004</v>
      </c>
      <c r="F8" s="22">
        <v>-0.67</v>
      </c>
      <c r="G8" s="2" t="s">
        <v>77</v>
      </c>
    </row>
    <row r="9" spans="1:7" x14ac:dyDescent="0.3">
      <c r="A9" s="19">
        <v>45870</v>
      </c>
      <c r="B9" s="2" t="s">
        <v>84</v>
      </c>
      <c r="C9" s="2" t="s">
        <v>5</v>
      </c>
      <c r="D9" s="2" t="s">
        <v>8</v>
      </c>
      <c r="E9" s="20">
        <v>5.0380000000000003</v>
      </c>
      <c r="F9" s="22">
        <v>-0.67</v>
      </c>
      <c r="G9" s="2" t="s">
        <v>77</v>
      </c>
    </row>
    <row r="10" spans="1:7" x14ac:dyDescent="0.3">
      <c r="A10" s="19">
        <v>45870</v>
      </c>
      <c r="B10" s="2" t="s">
        <v>85</v>
      </c>
      <c r="C10" s="2" t="s">
        <v>5</v>
      </c>
      <c r="D10" s="2" t="s">
        <v>9</v>
      </c>
      <c r="E10" s="20">
        <v>35.36</v>
      </c>
      <c r="F10" s="22">
        <v>1.31</v>
      </c>
      <c r="G10" s="2" t="s">
        <v>77</v>
      </c>
    </row>
    <row r="11" spans="1:7" x14ac:dyDescent="0.3">
      <c r="A11" s="19">
        <v>45870</v>
      </c>
      <c r="B11" s="2" t="s">
        <v>86</v>
      </c>
      <c r="C11" s="2" t="s">
        <v>5</v>
      </c>
      <c r="D11" s="2" t="s">
        <v>9</v>
      </c>
      <c r="E11" s="20">
        <v>28.145</v>
      </c>
      <c r="F11" s="22">
        <v>1.33</v>
      </c>
      <c r="G11" s="2" t="s">
        <v>77</v>
      </c>
    </row>
    <row r="12" spans="1:7" x14ac:dyDescent="0.3">
      <c r="A12" s="19">
        <v>45870</v>
      </c>
      <c r="B12" s="2" t="s">
        <v>87</v>
      </c>
      <c r="C12" s="2" t="s">
        <v>5</v>
      </c>
      <c r="D12" s="2" t="s">
        <v>9</v>
      </c>
      <c r="E12" s="20">
        <v>22.648</v>
      </c>
      <c r="F12" s="22">
        <v>1.1000000000000001</v>
      </c>
      <c r="G12" s="2" t="s">
        <v>77</v>
      </c>
    </row>
    <row r="13" spans="1:7" x14ac:dyDescent="0.3">
      <c r="A13" s="19">
        <v>45870</v>
      </c>
      <c r="B13" s="2" t="s">
        <v>88</v>
      </c>
      <c r="C13" s="2" t="s">
        <v>5</v>
      </c>
      <c r="D13" s="2" t="s">
        <v>9</v>
      </c>
      <c r="E13" s="20">
        <v>9.4499999999999993</v>
      </c>
      <c r="F13" s="22">
        <v>1.24</v>
      </c>
      <c r="G13" s="2" t="s">
        <v>77</v>
      </c>
    </row>
    <row r="14" spans="1:7" x14ac:dyDescent="0.3">
      <c r="A14" s="19">
        <v>45870</v>
      </c>
      <c r="B14" s="2" t="s">
        <v>89</v>
      </c>
      <c r="C14" s="2" t="s">
        <v>10</v>
      </c>
      <c r="D14" s="2" t="s">
        <v>6</v>
      </c>
      <c r="E14" s="20">
        <v>11.196</v>
      </c>
      <c r="F14" s="22">
        <v>0.32</v>
      </c>
      <c r="G14" s="2" t="s">
        <v>77</v>
      </c>
    </row>
    <row r="15" spans="1:7" x14ac:dyDescent="0.3">
      <c r="A15" s="19">
        <v>45870</v>
      </c>
      <c r="B15" s="2" t="s">
        <v>90</v>
      </c>
      <c r="C15" s="2" t="s">
        <v>10</v>
      </c>
      <c r="D15" s="2" t="s">
        <v>6</v>
      </c>
      <c r="E15" s="20">
        <v>7.0209999999999999</v>
      </c>
      <c r="F15" s="22">
        <v>0.57999999999999996</v>
      </c>
      <c r="G15" s="2" t="s">
        <v>77</v>
      </c>
    </row>
    <row r="16" spans="1:7" x14ac:dyDescent="0.3">
      <c r="A16" s="19">
        <v>45870</v>
      </c>
      <c r="B16" s="2" t="s">
        <v>91</v>
      </c>
      <c r="C16" s="2" t="s">
        <v>10</v>
      </c>
      <c r="D16" s="2" t="s">
        <v>8</v>
      </c>
      <c r="E16" s="20">
        <v>18.568000000000001</v>
      </c>
      <c r="F16" s="22">
        <v>0.15</v>
      </c>
      <c r="G16" s="2" t="s">
        <v>77</v>
      </c>
    </row>
    <row r="17" spans="1:7" x14ac:dyDescent="0.3">
      <c r="A17" s="19">
        <v>45870</v>
      </c>
      <c r="B17" s="2" t="s">
        <v>92</v>
      </c>
      <c r="C17" s="2" t="s">
        <v>10</v>
      </c>
      <c r="D17" s="2" t="s">
        <v>8</v>
      </c>
      <c r="E17" s="20">
        <v>13.795</v>
      </c>
      <c r="F17" s="22">
        <v>1.34</v>
      </c>
      <c r="G17" s="2" t="s">
        <v>77</v>
      </c>
    </row>
    <row r="18" spans="1:7" x14ac:dyDescent="0.3">
      <c r="A18" s="19">
        <v>45870</v>
      </c>
      <c r="B18" s="2" t="s">
        <v>93</v>
      </c>
      <c r="C18" s="2" t="s">
        <v>10</v>
      </c>
      <c r="D18" s="2" t="s">
        <v>9</v>
      </c>
      <c r="E18" s="20">
        <v>6.0220000000000002</v>
      </c>
      <c r="F18" s="22">
        <v>0.78</v>
      </c>
      <c r="G18" s="2" t="s">
        <v>77</v>
      </c>
    </row>
    <row r="19" spans="1:7" x14ac:dyDescent="0.3">
      <c r="A19" s="19">
        <v>45870</v>
      </c>
      <c r="B19" s="2" t="s">
        <v>94</v>
      </c>
      <c r="C19" s="2" t="s">
        <v>11</v>
      </c>
      <c r="D19" s="2" t="s">
        <v>6</v>
      </c>
      <c r="E19" s="20">
        <v>21.934000000000001</v>
      </c>
      <c r="F19" s="22">
        <v>0.51</v>
      </c>
      <c r="G19" s="2" t="s">
        <v>77</v>
      </c>
    </row>
    <row r="20" spans="1:7" x14ac:dyDescent="0.3">
      <c r="A20" s="19">
        <v>45870</v>
      </c>
      <c r="B20" s="2" t="s">
        <v>95</v>
      </c>
      <c r="C20" s="2" t="s">
        <v>11</v>
      </c>
      <c r="D20" s="2" t="s">
        <v>8</v>
      </c>
      <c r="E20" s="20">
        <v>4.0339999999999998</v>
      </c>
      <c r="F20" s="22">
        <v>-0.08</v>
      </c>
      <c r="G20" s="2" t="s">
        <v>77</v>
      </c>
    </row>
    <row r="21" spans="1:7" x14ac:dyDescent="0.3">
      <c r="A21" s="19">
        <v>45870</v>
      </c>
      <c r="B21" s="2" t="s">
        <v>96</v>
      </c>
      <c r="C21" s="2" t="s">
        <v>11</v>
      </c>
      <c r="D21" s="2" t="s">
        <v>9</v>
      </c>
      <c r="E21" s="20">
        <v>1.9910000000000001</v>
      </c>
      <c r="F21" s="22">
        <v>0.57999999999999996</v>
      </c>
      <c r="G21" s="2" t="s">
        <v>77</v>
      </c>
    </row>
    <row r="22" spans="1:7" x14ac:dyDescent="0.3">
      <c r="A22" s="19">
        <v>45901</v>
      </c>
      <c r="B22" s="2" t="s">
        <v>76</v>
      </c>
      <c r="C22" s="2" t="s">
        <v>5</v>
      </c>
      <c r="D22" s="2" t="s">
        <v>6</v>
      </c>
      <c r="E22" s="20">
        <v>63.237000000000002</v>
      </c>
      <c r="F22" s="22">
        <v>0.04</v>
      </c>
      <c r="G22" s="2" t="s">
        <v>97</v>
      </c>
    </row>
    <row r="23" spans="1:7" x14ac:dyDescent="0.3">
      <c r="A23" s="19">
        <v>45901</v>
      </c>
      <c r="B23" s="2" t="s">
        <v>78</v>
      </c>
      <c r="C23" s="2" t="s">
        <v>5</v>
      </c>
      <c r="D23" s="2" t="s">
        <v>6</v>
      </c>
      <c r="E23" s="20">
        <v>48.029000000000003</v>
      </c>
      <c r="F23" s="22">
        <v>-0.41</v>
      </c>
      <c r="G23" s="2" t="s">
        <v>97</v>
      </c>
    </row>
    <row r="24" spans="1:7" x14ac:dyDescent="0.3">
      <c r="A24" s="19">
        <v>45901</v>
      </c>
      <c r="B24" s="2" t="s">
        <v>79</v>
      </c>
      <c r="C24" s="2" t="s">
        <v>5</v>
      </c>
      <c r="D24" s="2" t="s">
        <v>6</v>
      </c>
      <c r="E24" s="20">
        <v>42.16</v>
      </c>
      <c r="F24" s="22">
        <v>0.64</v>
      </c>
      <c r="G24" s="2" t="s">
        <v>97</v>
      </c>
    </row>
    <row r="25" spans="1:7" x14ac:dyDescent="0.3">
      <c r="A25" s="19">
        <v>45901</v>
      </c>
      <c r="B25" s="2" t="s">
        <v>80</v>
      </c>
      <c r="C25" s="2" t="s">
        <v>5</v>
      </c>
      <c r="D25" s="2" t="s">
        <v>6</v>
      </c>
      <c r="E25" s="20">
        <v>38.506999999999998</v>
      </c>
      <c r="F25" s="22">
        <v>0.22</v>
      </c>
      <c r="G25" s="2" t="s">
        <v>97</v>
      </c>
    </row>
    <row r="26" spans="1:7" x14ac:dyDescent="0.3">
      <c r="A26" s="19">
        <v>45901</v>
      </c>
      <c r="B26" s="2" t="s">
        <v>81</v>
      </c>
      <c r="C26" s="2" t="s">
        <v>5</v>
      </c>
      <c r="D26" s="2" t="s">
        <v>6</v>
      </c>
      <c r="E26" s="20">
        <v>24.664999999999999</v>
      </c>
      <c r="F26" s="22">
        <v>-0.41</v>
      </c>
      <c r="G26" s="2" t="s">
        <v>97</v>
      </c>
    </row>
    <row r="27" spans="1:7" x14ac:dyDescent="0.3">
      <c r="A27" s="19">
        <v>45901</v>
      </c>
      <c r="B27" s="2" t="s">
        <v>82</v>
      </c>
      <c r="C27" s="2" t="s">
        <v>5</v>
      </c>
      <c r="D27" s="2" t="s">
        <v>8</v>
      </c>
      <c r="E27" s="20">
        <v>14.23</v>
      </c>
      <c r="F27" s="22">
        <v>-1.62</v>
      </c>
      <c r="G27" s="2" t="s">
        <v>97</v>
      </c>
    </row>
    <row r="28" spans="1:7" x14ac:dyDescent="0.3">
      <c r="A28" s="19">
        <v>45901</v>
      </c>
      <c r="B28" s="2" t="s">
        <v>83</v>
      </c>
      <c r="C28" s="2" t="s">
        <v>5</v>
      </c>
      <c r="D28" s="2" t="s">
        <v>8</v>
      </c>
      <c r="E28" s="20">
        <v>8.8740000000000006</v>
      </c>
      <c r="F28" s="22">
        <v>0.96</v>
      </c>
      <c r="G28" s="2" t="s">
        <v>97</v>
      </c>
    </row>
    <row r="29" spans="1:7" x14ac:dyDescent="0.3">
      <c r="A29" s="19">
        <v>45901</v>
      </c>
      <c r="B29" s="2" t="s">
        <v>84</v>
      </c>
      <c r="C29" s="2" t="s">
        <v>5</v>
      </c>
      <c r="D29" s="2" t="s">
        <v>8</v>
      </c>
      <c r="E29" s="20">
        <v>4.9870000000000001</v>
      </c>
      <c r="F29" s="22">
        <v>1.42</v>
      </c>
      <c r="G29" s="2" t="s">
        <v>97</v>
      </c>
    </row>
    <row r="30" spans="1:7" x14ac:dyDescent="0.3">
      <c r="A30" s="19">
        <v>45901</v>
      </c>
      <c r="B30" s="2" t="s">
        <v>85</v>
      </c>
      <c r="C30" s="2" t="s">
        <v>5</v>
      </c>
      <c r="D30" s="2" t="s">
        <v>9</v>
      </c>
      <c r="E30" s="20">
        <v>35.631</v>
      </c>
      <c r="F30" s="22">
        <v>-0.1</v>
      </c>
      <c r="G30" s="2" t="s">
        <v>97</v>
      </c>
    </row>
    <row r="31" spans="1:7" x14ac:dyDescent="0.3">
      <c r="A31" s="19">
        <v>45901</v>
      </c>
      <c r="B31" s="2" t="s">
        <v>86</v>
      </c>
      <c r="C31" s="2" t="s">
        <v>5</v>
      </c>
      <c r="D31" s="2" t="s">
        <v>9</v>
      </c>
      <c r="E31" s="20">
        <v>28.189</v>
      </c>
      <c r="F31" s="22">
        <v>1.1100000000000001</v>
      </c>
      <c r="G31" s="2" t="s">
        <v>97</v>
      </c>
    </row>
    <row r="32" spans="1:7" x14ac:dyDescent="0.3">
      <c r="A32" s="19">
        <v>45901</v>
      </c>
      <c r="B32" s="2" t="s">
        <v>87</v>
      </c>
      <c r="C32" s="2" t="s">
        <v>5</v>
      </c>
      <c r="D32" s="2" t="s">
        <v>9</v>
      </c>
      <c r="E32" s="20">
        <v>22.673999999999999</v>
      </c>
      <c r="F32" s="22">
        <v>18.5</v>
      </c>
      <c r="G32" s="2" t="s">
        <v>97</v>
      </c>
    </row>
    <row r="33" spans="1:7" x14ac:dyDescent="0.3">
      <c r="A33" s="19">
        <v>45901</v>
      </c>
      <c r="B33" s="2" t="s">
        <v>88</v>
      </c>
      <c r="C33" s="2" t="s">
        <v>5</v>
      </c>
      <c r="D33" s="2" t="s">
        <v>9</v>
      </c>
      <c r="E33" s="20">
        <v>9.5809999999999995</v>
      </c>
      <c r="F33" s="22">
        <v>1.19</v>
      </c>
      <c r="G33" s="2" t="s">
        <v>97</v>
      </c>
    </row>
    <row r="34" spans="1:7" x14ac:dyDescent="0.3">
      <c r="A34" s="19">
        <v>45901</v>
      </c>
      <c r="B34" s="2" t="s">
        <v>89</v>
      </c>
      <c r="C34" s="2" t="s">
        <v>10</v>
      </c>
      <c r="D34" s="2" t="s">
        <v>6</v>
      </c>
      <c r="E34" s="20">
        <v>11.324</v>
      </c>
      <c r="F34" s="22">
        <v>0.3</v>
      </c>
      <c r="G34" s="2" t="s">
        <v>97</v>
      </c>
    </row>
    <row r="35" spans="1:7" x14ac:dyDescent="0.3">
      <c r="A35" s="19">
        <v>45901</v>
      </c>
      <c r="B35" s="2" t="s">
        <v>90</v>
      </c>
      <c r="C35" s="2" t="s">
        <v>10</v>
      </c>
      <c r="D35" s="2" t="s">
        <v>6</v>
      </c>
      <c r="E35" s="20">
        <v>7</v>
      </c>
      <c r="F35" s="22">
        <v>-0.08</v>
      </c>
      <c r="G35" s="2" t="s">
        <v>97</v>
      </c>
    </row>
    <row r="36" spans="1:7" x14ac:dyDescent="0.3">
      <c r="A36" s="19">
        <v>45901</v>
      </c>
      <c r="B36" s="2" t="s">
        <v>91</v>
      </c>
      <c r="C36" s="2" t="s">
        <v>10</v>
      </c>
      <c r="D36" s="2" t="s">
        <v>8</v>
      </c>
      <c r="E36" s="20">
        <v>16.193999999999999</v>
      </c>
      <c r="F36" s="22">
        <v>-8.5</v>
      </c>
      <c r="G36" s="2" t="s">
        <v>97</v>
      </c>
    </row>
    <row r="37" spans="1:7" x14ac:dyDescent="0.3">
      <c r="A37" s="19">
        <v>45901</v>
      </c>
      <c r="B37" s="2" t="s">
        <v>92</v>
      </c>
      <c r="C37" s="2" t="s">
        <v>10</v>
      </c>
      <c r="D37" s="2" t="s">
        <v>8</v>
      </c>
      <c r="E37" s="20">
        <v>12.128</v>
      </c>
      <c r="F37" s="22">
        <v>-8.5</v>
      </c>
      <c r="G37" s="2" t="s">
        <v>97</v>
      </c>
    </row>
    <row r="38" spans="1:7" x14ac:dyDescent="0.3">
      <c r="A38" s="19">
        <v>45901</v>
      </c>
      <c r="B38" s="2" t="s">
        <v>93</v>
      </c>
      <c r="C38" s="2" t="s">
        <v>10</v>
      </c>
      <c r="D38" s="2" t="s">
        <v>9</v>
      </c>
      <c r="E38" s="20">
        <v>6.0049999999999999</v>
      </c>
      <c r="F38" s="22">
        <v>1.33</v>
      </c>
      <c r="G38" s="2" t="s">
        <v>97</v>
      </c>
    </row>
    <row r="39" spans="1:7" x14ac:dyDescent="0.3">
      <c r="A39" s="19">
        <v>45901</v>
      </c>
      <c r="B39" s="2" t="s">
        <v>76</v>
      </c>
      <c r="C39" s="2" t="s">
        <v>5</v>
      </c>
      <c r="D39" s="2" t="s">
        <v>6</v>
      </c>
      <c r="E39" s="20">
        <v>63.237000000000002</v>
      </c>
      <c r="F39" s="22">
        <v>0.04</v>
      </c>
      <c r="G39" s="2" t="s">
        <v>97</v>
      </c>
    </row>
    <row r="40" spans="1:7" x14ac:dyDescent="0.3">
      <c r="A40" s="19">
        <v>45901</v>
      </c>
      <c r="B40" s="2" t="s">
        <v>91</v>
      </c>
      <c r="C40" s="2" t="s">
        <v>10</v>
      </c>
      <c r="D40" s="2" t="s">
        <v>8</v>
      </c>
      <c r="E40" s="20">
        <v>16.193999999999999</v>
      </c>
      <c r="F40" s="22">
        <v>-8.5</v>
      </c>
      <c r="G40" s="2" t="s">
        <v>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B364-B433-489F-A5EA-61339B6FCCE8}">
  <sheetPr>
    <tabColor rgb="FF70AD47"/>
  </sheetPr>
  <dimension ref="A1:AI26"/>
  <sheetViews>
    <sheetView topLeftCell="M1" workbookViewId="0">
      <pane ySplit="2" topLeftCell="A3" activePane="bottomLeft" state="frozen"/>
      <selection pane="bottomLeft" sqref="A1:J1"/>
    </sheetView>
  </sheetViews>
  <sheetFormatPr defaultRowHeight="14.4" x14ac:dyDescent="0.3"/>
  <cols>
    <col min="1" max="1" width="37" customWidth="1"/>
    <col min="2" max="2" width="24.109375" customWidth="1"/>
    <col min="11" max="11" width="16.6640625" customWidth="1"/>
    <col min="12" max="14" width="18.5546875" customWidth="1"/>
    <col min="15" max="15" width="24.109375" customWidth="1"/>
    <col min="17" max="17" width="25.88671875" customWidth="1"/>
    <col min="18" max="18" width="20.33203125" customWidth="1"/>
    <col min="19" max="20" width="24.109375" customWidth="1"/>
    <col min="22" max="22" width="25.88671875" customWidth="1"/>
    <col min="23" max="25" width="18.5546875" customWidth="1"/>
    <col min="26" max="26" width="16.6640625" customWidth="1"/>
    <col min="28" max="28" width="25.88671875" customWidth="1"/>
    <col min="29" max="31" width="18.5546875" customWidth="1"/>
    <col min="32" max="32" width="16.6640625" customWidth="1"/>
  </cols>
  <sheetData>
    <row r="1" spans="1:35" x14ac:dyDescent="0.3">
      <c r="A1" s="123" t="s">
        <v>98</v>
      </c>
      <c r="B1" s="123"/>
      <c r="C1" s="2"/>
      <c r="D1" s="133" t="s">
        <v>105</v>
      </c>
      <c r="E1" s="59"/>
      <c r="F1" s="59"/>
      <c r="G1" s="59"/>
      <c r="H1" s="59"/>
      <c r="I1" s="59"/>
      <c r="J1" s="2"/>
      <c r="K1" s="133" t="s">
        <v>109</v>
      </c>
      <c r="L1" s="59"/>
      <c r="M1" s="59"/>
      <c r="N1" s="59"/>
      <c r="O1" s="59"/>
      <c r="P1" s="2"/>
      <c r="Q1" s="133" t="s">
        <v>113</v>
      </c>
      <c r="R1" s="59"/>
      <c r="S1" s="59"/>
      <c r="T1" s="59"/>
      <c r="U1" s="2"/>
      <c r="V1" s="133" t="s">
        <v>330</v>
      </c>
      <c r="W1" s="59"/>
      <c r="X1" s="59"/>
      <c r="Y1" s="59"/>
      <c r="Z1" s="59"/>
      <c r="AA1" s="2"/>
      <c r="AB1" s="133" t="s">
        <v>332</v>
      </c>
      <c r="AC1" s="59"/>
      <c r="AD1" s="59"/>
      <c r="AE1" s="59"/>
      <c r="AF1" s="59"/>
      <c r="AH1" s="152" t="s">
        <v>449</v>
      </c>
      <c r="AI1" s="64"/>
    </row>
    <row r="2" spans="1:35" x14ac:dyDescent="0.3">
      <c r="A2" s="12" t="s">
        <v>99</v>
      </c>
      <c r="B2" s="23">
        <f>DATE(2025,9,1)</f>
        <v>45901</v>
      </c>
      <c r="C2" s="2"/>
      <c r="D2" s="6" t="s">
        <v>106</v>
      </c>
      <c r="E2" s="6" t="s">
        <v>5</v>
      </c>
      <c r="F2" s="6" t="s">
        <v>10</v>
      </c>
      <c r="G2" s="6" t="s">
        <v>11</v>
      </c>
      <c r="H2" s="6" t="s">
        <v>107</v>
      </c>
      <c r="I2" s="6" t="s">
        <v>108</v>
      </c>
      <c r="J2" s="2"/>
      <c r="K2" s="6" t="s">
        <v>106</v>
      </c>
      <c r="L2" s="6" t="s">
        <v>40</v>
      </c>
      <c r="M2" s="6" t="s">
        <v>110</v>
      </c>
      <c r="N2" s="6" t="s">
        <v>111</v>
      </c>
      <c r="O2" s="6" t="s">
        <v>112</v>
      </c>
      <c r="P2" s="2"/>
      <c r="Q2" s="6" t="s">
        <v>1</v>
      </c>
      <c r="R2" s="6" t="s">
        <v>114</v>
      </c>
      <c r="S2" s="6" t="s">
        <v>115</v>
      </c>
      <c r="T2" s="6" t="s">
        <v>116</v>
      </c>
      <c r="U2" s="2"/>
      <c r="V2" s="24" t="s">
        <v>1</v>
      </c>
      <c r="W2" s="24" t="s">
        <v>40</v>
      </c>
      <c r="X2" s="24" t="s">
        <v>110</v>
      </c>
      <c r="Y2" s="24" t="s">
        <v>111</v>
      </c>
      <c r="Z2" s="24" t="s">
        <v>331</v>
      </c>
      <c r="AA2" s="2"/>
      <c r="AB2" s="24" t="s">
        <v>1</v>
      </c>
      <c r="AC2" s="24" t="s">
        <v>40</v>
      </c>
      <c r="AD2" s="24" t="s">
        <v>110</v>
      </c>
      <c r="AE2" s="24" t="s">
        <v>111</v>
      </c>
      <c r="AF2" s="24" t="s">
        <v>331</v>
      </c>
      <c r="AH2" s="57" t="s">
        <v>1</v>
      </c>
      <c r="AI2" s="57" t="s">
        <v>191</v>
      </c>
    </row>
    <row r="3" spans="1:35" x14ac:dyDescent="0.3">
      <c r="A3" s="12" t="s">
        <v>100</v>
      </c>
      <c r="B3" s="23">
        <f>DATE(2025,8,1)</f>
        <v>45870</v>
      </c>
      <c r="C3" s="2"/>
      <c r="D3" s="25">
        <f>DATE(2023,10,1)</f>
        <v>45200</v>
      </c>
      <c r="E3" s="26">
        <f>SUMIFS(tblAUM[AUM_CAD_Billions],tblAUM[Date],D3,tblAUM[Segment],"Asset Management")</f>
        <v>340.03100000000001</v>
      </c>
      <c r="F3" s="26">
        <f>SUMIFS(tblAUM[AUM_CAD_Billions],tblAUM[Date],D3,tblAUM[Segment],"Wealth")</f>
        <v>56.123000000000005</v>
      </c>
      <c r="G3" s="26">
        <f>SUMIFS(tblAUM[AUM_CAD_Billions],tblAUM[Date],D3,tblAUM[Segment],"Insurance")</f>
        <v>28.010999999999999</v>
      </c>
      <c r="H3" s="27">
        <f t="shared" ref="H3:H26" si="0">SUM(E3:G3)</f>
        <v>424.16500000000002</v>
      </c>
      <c r="I3" s="28"/>
      <c r="J3" s="2"/>
      <c r="K3" s="25">
        <f t="shared" ref="K3:K26" si="1">D3</f>
        <v>45200</v>
      </c>
      <c r="L3" s="26">
        <f>SUMIFS(tblGL[Amount_CAD_Millions],tblGL[Date],K3,tblGL[Type],"Revenue")</f>
        <v>145.816</v>
      </c>
      <c r="M3" s="26">
        <f>-SUMIFS(tblGL[Amount_CAD_Millions],tblGL[Date],K3,tblGL[Type],"Expense")</f>
        <v>83.563999999999993</v>
      </c>
      <c r="N3" s="27">
        <f t="shared" ref="N3:N26" si="2">L3-M3</f>
        <v>62.25200000000001</v>
      </c>
      <c r="O3" s="29">
        <f t="shared" ref="O3:O26" si="3">IFERROR(N3/L3,"")</f>
        <v>0.42692159982443634</v>
      </c>
      <c r="P3" s="2"/>
      <c r="Q3" s="2" t="s">
        <v>5</v>
      </c>
      <c r="R3" s="2" t="s">
        <v>6</v>
      </c>
      <c r="S3" s="21">
        <f>SUMIFS(tblInvestments[Market_Value_CAD_Billions],tblInvestments[Date],$B$2,tblInvestments[Segment],Q3,tblInvestments[Asset_Class],R3)</f>
        <v>279.83499999999998</v>
      </c>
      <c r="T3" s="21">
        <f>SUMIFS(tblInvestments[Market_Value_CAD_Billions],tblInvestments[Date],$B$3,tblInvestments[Segment],Q3,tblInvestments[Asset_Class],R3)</f>
        <v>215.17099999999999</v>
      </c>
      <c r="U3" s="2"/>
      <c r="V3" s="7" t="s">
        <v>5</v>
      </c>
      <c r="W3" s="30">
        <f>SUMIFS(tblGL[Amount_CAD_Millions],tblGL[Date],$B$2,tblGL[Segment],V3,tblGL[Type],"Revenue")</f>
        <v>123</v>
      </c>
      <c r="X3" s="30">
        <f>-SUMIFS(tblGL[Amount_CAD_Millions],tblGL[Date],$B$2,tblGL[Segment],V3,tblGL[Type],"Expense")</f>
        <v>64.731000000000009</v>
      </c>
      <c r="Y3" s="30">
        <f>W3-X3</f>
        <v>58.268999999999991</v>
      </c>
      <c r="Z3" s="31">
        <f>IFERROR(Y3/W3,"")</f>
        <v>0.47373170731707309</v>
      </c>
      <c r="AA3" s="2"/>
      <c r="AB3" s="7" t="s">
        <v>5</v>
      </c>
      <c r="AC3" s="30">
        <f>SUMIFS(tblGL[Amount_CAD_Millions],tblGL[Date],$B$3,tblGL[Segment],AB3,tblGL[Type],"Revenue")</f>
        <v>115.98</v>
      </c>
      <c r="AD3" s="30">
        <f>-SUMIFS(tblGL[Amount_CAD_Millions],tblGL[Date],$B$3,tblGL[Segment],AB3,tblGL[Type],"Expense")</f>
        <v>64.09</v>
      </c>
      <c r="AE3" s="30">
        <f>AC3-AD3</f>
        <v>51.89</v>
      </c>
      <c r="AF3" s="31">
        <f>IFERROR(AE3/AC3,"")</f>
        <v>0.44740472495257805</v>
      </c>
      <c r="AH3" t="str">
        <f>Dashboard!A11</f>
        <v>Asset Management</v>
      </c>
      <c r="AI3" s="1">
        <f>Dashboard!B11</f>
        <v>371.54599999999999</v>
      </c>
    </row>
    <row r="4" spans="1:35" x14ac:dyDescent="0.3">
      <c r="A4" s="12" t="s">
        <v>101</v>
      </c>
      <c r="B4" s="32">
        <v>0.05</v>
      </c>
      <c r="C4" s="2"/>
      <c r="D4" s="25">
        <f>DATE(2023,11,1)</f>
        <v>45231</v>
      </c>
      <c r="E4" s="26">
        <f>SUMIFS(tblAUM[AUM_CAD_Billions],tblAUM[Date],D4,tblAUM[Segment],"Asset Management")</f>
        <v>340.09500000000003</v>
      </c>
      <c r="F4" s="26">
        <f>SUMIFS(tblAUM[AUM_CAD_Billions],tblAUM[Date],D4,tblAUM[Segment],"Wealth")</f>
        <v>56.550000000000004</v>
      </c>
      <c r="G4" s="26">
        <f>SUMIFS(tblAUM[AUM_CAD_Billions],tblAUM[Date],D4,tblAUM[Segment],"Insurance")</f>
        <v>28.212</v>
      </c>
      <c r="H4" s="27">
        <f t="shared" si="0"/>
        <v>424.85700000000003</v>
      </c>
      <c r="I4" s="28">
        <f t="shared" ref="I4:I26" si="4">IFERROR(H4/H3-1,"")</f>
        <v>1.6314405950514921E-3</v>
      </c>
      <c r="J4" s="2"/>
      <c r="K4" s="25">
        <f t="shared" si="1"/>
        <v>45231</v>
      </c>
      <c r="L4" s="26">
        <f>SUMIFS(tblGL[Amount_CAD_Millions],tblGL[Date],K4,tblGL[Type],"Revenue")</f>
        <v>142.10299999999995</v>
      </c>
      <c r="M4" s="26">
        <f>-SUMIFS(tblGL[Amount_CAD_Millions],tblGL[Date],K4,tblGL[Type],"Expense")</f>
        <v>83.483999999999995</v>
      </c>
      <c r="N4" s="27">
        <f t="shared" si="2"/>
        <v>58.618999999999957</v>
      </c>
      <c r="O4" s="29">
        <f t="shared" si="3"/>
        <v>0.41251064368802892</v>
      </c>
      <c r="P4" s="2"/>
      <c r="Q4" s="2" t="s">
        <v>5</v>
      </c>
      <c r="R4" s="2" t="s">
        <v>8</v>
      </c>
      <c r="S4" s="21">
        <f>SUMIFS(tblInvestments[Market_Value_CAD_Billions],tblInvestments[Date],$B$2,tblInvestments[Segment],Q4,tblInvestments[Asset_Class],R4)</f>
        <v>28.091000000000001</v>
      </c>
      <c r="T4" s="21">
        <f>SUMIFS(tblInvestments[Market_Value_CAD_Billions],tblInvestments[Date],$B$3,tblInvestments[Segment],Q4,tblInvestments[Asset_Class],R4)</f>
        <v>28.164000000000001</v>
      </c>
      <c r="U4" s="2"/>
      <c r="V4" s="7" t="s">
        <v>10</v>
      </c>
      <c r="W4" s="30">
        <f>SUMIFS(tblGL[Amount_CAD_Millions],tblGL[Date],$B$2,tblGL[Segment],V4,tblGL[Type],"Revenue")</f>
        <v>22.402999999999999</v>
      </c>
      <c r="X4" s="30">
        <f>-SUMIFS(tblGL[Amount_CAD_Millions],tblGL[Date],$B$2,tblGL[Segment],V4,tblGL[Type],"Expense")</f>
        <v>19.085999999999999</v>
      </c>
      <c r="Y4" s="30">
        <f>W4-X4</f>
        <v>3.3170000000000002</v>
      </c>
      <c r="Z4" s="31">
        <f>IFERROR(Y4/W4,"")</f>
        <v>0.14806052760790966</v>
      </c>
      <c r="AA4" s="2"/>
      <c r="AB4" s="7" t="s">
        <v>10</v>
      </c>
      <c r="AC4" s="30">
        <f>SUMIFS(tblGL[Amount_CAD_Millions],tblGL[Date],$B$3,tblGL[Segment],AB4,tblGL[Type],"Revenue")</f>
        <v>23.475999999999999</v>
      </c>
      <c r="AD4" s="30">
        <f>-SUMIFS(tblGL[Amount_CAD_Millions],tblGL[Date],$B$3,tblGL[Segment],AB4,tblGL[Type],"Expense")</f>
        <v>18.617000000000004</v>
      </c>
      <c r="AE4" s="30">
        <f>AC4-AD4</f>
        <v>4.8589999999999947</v>
      </c>
      <c r="AF4" s="31">
        <f>IFERROR(AE4/AC4,"")</f>
        <v>0.20697733855852765</v>
      </c>
      <c r="AH4" t="str">
        <f>Dashboard!A12</f>
        <v>Wealth</v>
      </c>
      <c r="AI4" s="1">
        <f>Dashboard!B12</f>
        <v>57.341000000000001</v>
      </c>
    </row>
    <row r="5" spans="1:35" x14ac:dyDescent="0.3">
      <c r="A5" s="12" t="s">
        <v>102</v>
      </c>
      <c r="B5" s="33">
        <v>10</v>
      </c>
      <c r="C5" s="2"/>
      <c r="D5" s="25">
        <f>DATE(2023,12,1)</f>
        <v>45261</v>
      </c>
      <c r="E5" s="26">
        <f>SUMIFS(tblAUM[AUM_CAD_Billions],tblAUM[Date],D5,tblAUM[Segment],"Asset Management")</f>
        <v>340.87</v>
      </c>
      <c r="F5" s="26">
        <f>SUMIFS(tblAUM[AUM_CAD_Billions],tblAUM[Date],D5,tblAUM[Segment],"Wealth")</f>
        <v>56.341999999999999</v>
      </c>
      <c r="G5" s="26">
        <f>SUMIFS(tblAUM[AUM_CAD_Billions],tblAUM[Date],D5,tblAUM[Segment],"Insurance")</f>
        <v>28.254000000000001</v>
      </c>
      <c r="H5" s="27">
        <f t="shared" si="0"/>
        <v>425.46600000000001</v>
      </c>
      <c r="I5" s="28">
        <f t="shared" si="4"/>
        <v>1.4334234813124791E-3</v>
      </c>
      <c r="J5" s="2"/>
      <c r="K5" s="25">
        <f t="shared" si="1"/>
        <v>45261</v>
      </c>
      <c r="L5" s="26">
        <f>SUMIFS(tblGL[Amount_CAD_Millions],tblGL[Date],K5,tblGL[Type],"Revenue")</f>
        <v>144.99799999999999</v>
      </c>
      <c r="M5" s="26">
        <f>-SUMIFS(tblGL[Amount_CAD_Millions],tblGL[Date],K5,tblGL[Type],"Expense")</f>
        <v>85.784999999999982</v>
      </c>
      <c r="N5" s="27">
        <f t="shared" si="2"/>
        <v>59.213000000000008</v>
      </c>
      <c r="O5" s="29">
        <f t="shared" si="3"/>
        <v>0.40837114994689588</v>
      </c>
      <c r="P5" s="2"/>
      <c r="Q5" s="2" t="s">
        <v>5</v>
      </c>
      <c r="R5" s="2" t="s">
        <v>9</v>
      </c>
      <c r="S5" s="21">
        <f>SUMIFS(tblInvestments[Market_Value_CAD_Billions],tblInvestments[Date],$B$2,tblInvestments[Segment],Q5,tblInvestments[Asset_Class],R5)</f>
        <v>96.075000000000003</v>
      </c>
      <c r="T5" s="21">
        <f>SUMIFS(tblInvestments[Market_Value_CAD_Billions],tblInvestments[Date],$B$3,tblInvestments[Segment],Q5,tblInvestments[Asset_Class],R5)</f>
        <v>95.602999999999994</v>
      </c>
      <c r="U5" s="2"/>
      <c r="V5" s="7" t="s">
        <v>11</v>
      </c>
      <c r="W5" s="30">
        <f>SUMIFS(tblGL[Amount_CAD_Millions],tblGL[Date],$B$2,tblGL[Segment],V5,tblGL[Type],"Revenue")</f>
        <v>10.026</v>
      </c>
      <c r="X5" s="30">
        <f>-SUMIFS(tblGL[Amount_CAD_Millions],tblGL[Date],$B$2,tblGL[Segment],V5,tblGL[Type],"Expense")</f>
        <v>7.3839999999999995</v>
      </c>
      <c r="Y5" s="30">
        <f>W5-X5</f>
        <v>2.6420000000000003</v>
      </c>
      <c r="Z5" s="31">
        <f>IFERROR(Y5/W5,"")</f>
        <v>0.26351486136046282</v>
      </c>
      <c r="AA5" s="2"/>
      <c r="AB5" s="7" t="s">
        <v>11</v>
      </c>
      <c r="AC5" s="30">
        <f>SUMIFS(tblGL[Amount_CAD_Millions],tblGL[Date],$B$3,tblGL[Segment],AB5,tblGL[Type],"Revenue")</f>
        <v>9.7119999999999997</v>
      </c>
      <c r="AD5" s="30">
        <f>-SUMIFS(tblGL[Amount_CAD_Millions],tblGL[Date],$B$3,tblGL[Segment],AB5,tblGL[Type],"Expense")</f>
        <v>7.5759999999999996</v>
      </c>
      <c r="AE5" s="30">
        <f>AC5-AD5</f>
        <v>2.1360000000000001</v>
      </c>
      <c r="AF5" s="31">
        <f>IFERROR(AE5/AC5,"")</f>
        <v>0.21993410214168041</v>
      </c>
      <c r="AH5" t="str">
        <f>IF(Dashboard!B13=0,Dashboard!A13&amp;" (no data)",Dashboard!A13)</f>
        <v>Insurance (no data)</v>
      </c>
      <c r="AI5" s="1">
        <f>Dashboard!B13</f>
        <v>0</v>
      </c>
    </row>
    <row r="6" spans="1:35" x14ac:dyDescent="0.3">
      <c r="A6" s="12" t="s">
        <v>103</v>
      </c>
      <c r="B6" s="34" t="s">
        <v>104</v>
      </c>
      <c r="C6" s="2"/>
      <c r="D6" s="25">
        <f>DATE(2024,1,1)</f>
        <v>45292</v>
      </c>
      <c r="E6" s="26">
        <f>SUMIFS(tblAUM[AUM_CAD_Billions],tblAUM[Date],D6,tblAUM[Segment],"Asset Management")</f>
        <v>343.22399999999999</v>
      </c>
      <c r="F6" s="26">
        <f>SUMIFS(tblAUM[AUM_CAD_Billions],tblAUM[Date],D6,tblAUM[Segment],"Wealth")</f>
        <v>56.765999999999998</v>
      </c>
      <c r="G6" s="26">
        <f>SUMIFS(tblAUM[AUM_CAD_Billions],tblAUM[Date],D6,tblAUM[Segment],"Insurance")</f>
        <v>28.243000000000002</v>
      </c>
      <c r="H6" s="27">
        <f t="shared" si="0"/>
        <v>428.233</v>
      </c>
      <c r="I6" s="28">
        <f t="shared" si="4"/>
        <v>6.5034573855489164E-3</v>
      </c>
      <c r="J6" s="2"/>
      <c r="K6" s="25">
        <f t="shared" si="1"/>
        <v>45292</v>
      </c>
      <c r="L6" s="26">
        <f>SUMIFS(tblGL[Amount_CAD_Millions],tblGL[Date],K6,tblGL[Type],"Revenue")</f>
        <v>141.24099999999999</v>
      </c>
      <c r="M6" s="26">
        <f>-SUMIFS(tblGL[Amount_CAD_Millions],tblGL[Date],K6,tblGL[Type],"Expense")</f>
        <v>85.38300000000001</v>
      </c>
      <c r="N6" s="27">
        <f t="shared" si="2"/>
        <v>55.857999999999976</v>
      </c>
      <c r="O6" s="29">
        <f t="shared" si="3"/>
        <v>0.3954800659865052</v>
      </c>
      <c r="P6" s="2"/>
      <c r="Q6" s="2" t="s">
        <v>10</v>
      </c>
      <c r="R6" s="2" t="s">
        <v>6</v>
      </c>
      <c r="S6" s="21">
        <f>SUMIFS(tblInvestments[Market_Value_CAD_Billions],tblInvestments[Date],$B$2,tblInvestments[Segment],Q6,tblInvestments[Asset_Class],R6)</f>
        <v>18.323999999999998</v>
      </c>
      <c r="T6" s="21">
        <f>SUMIFS(tblInvestments[Market_Value_CAD_Billions],tblInvestments[Date],$B$3,tblInvestments[Segment],Q6,tblInvestments[Asset_Class],R6)</f>
        <v>18.216999999999999</v>
      </c>
      <c r="U6" s="2"/>
      <c r="V6" s="35" t="s">
        <v>117</v>
      </c>
      <c r="W6" s="36">
        <f>SUM(W3:W5)</f>
        <v>155.429</v>
      </c>
      <c r="X6" s="36">
        <f>SUM(X3:X5)</f>
        <v>91.201000000000008</v>
      </c>
      <c r="Y6" s="36">
        <f>W6-X6</f>
        <v>64.227999999999994</v>
      </c>
      <c r="Z6" s="37">
        <f>IFERROR(Y6/W6,"")</f>
        <v>0.41323047822478426</v>
      </c>
      <c r="AA6" s="2"/>
      <c r="AB6" s="35" t="s">
        <v>117</v>
      </c>
      <c r="AC6" s="36">
        <f>SUM(AC3:AC5)</f>
        <v>149.16800000000001</v>
      </c>
      <c r="AD6" s="36">
        <f>SUM(AD3:AD5)</f>
        <v>90.283000000000001</v>
      </c>
      <c r="AE6" s="36">
        <f>AC6-AD6</f>
        <v>58.885000000000005</v>
      </c>
      <c r="AF6" s="37">
        <f>IFERROR(AE6/AC6,"")</f>
        <v>0.39475624798884479</v>
      </c>
    </row>
    <row r="7" spans="1:35" x14ac:dyDescent="0.3">
      <c r="A7" s="2"/>
      <c r="B7" s="2"/>
      <c r="C7" s="2"/>
      <c r="D7" s="25">
        <f>DATE(2024,2,1)</f>
        <v>45323</v>
      </c>
      <c r="E7" s="26">
        <f>SUMIFS(tblAUM[AUM_CAD_Billions],tblAUM[Date],D7,tblAUM[Segment],"Asset Management")</f>
        <v>342.71899999999999</v>
      </c>
      <c r="F7" s="26">
        <f>SUMIFS(tblAUM[AUM_CAD_Billions],tblAUM[Date],D7,tblAUM[Segment],"Wealth")</f>
        <v>56.978000000000002</v>
      </c>
      <c r="G7" s="26">
        <f>SUMIFS(tblAUM[AUM_CAD_Billions],tblAUM[Date],D7,tblAUM[Segment],"Insurance")</f>
        <v>28.525000000000002</v>
      </c>
      <c r="H7" s="27">
        <f t="shared" si="0"/>
        <v>428.22199999999998</v>
      </c>
      <c r="I7" s="28">
        <f t="shared" si="4"/>
        <v>-2.5686950795522634E-5</v>
      </c>
      <c r="J7" s="2"/>
      <c r="K7" s="25">
        <f t="shared" si="1"/>
        <v>45323</v>
      </c>
      <c r="L7" s="26">
        <f>SUMIFS(tblGL[Amount_CAD_Millions],tblGL[Date],K7,tblGL[Type],"Revenue")</f>
        <v>145.76599999999999</v>
      </c>
      <c r="M7" s="26">
        <f>-SUMIFS(tblGL[Amount_CAD_Millions],tblGL[Date],K7,tblGL[Type],"Expense")</f>
        <v>82.442999999999998</v>
      </c>
      <c r="N7" s="27">
        <f t="shared" si="2"/>
        <v>63.322999999999993</v>
      </c>
      <c r="O7" s="29">
        <f t="shared" si="3"/>
        <v>0.43441543295418683</v>
      </c>
      <c r="P7" s="2"/>
      <c r="Q7" s="2" t="s">
        <v>10</v>
      </c>
      <c r="R7" s="2" t="s">
        <v>8</v>
      </c>
      <c r="S7" s="21">
        <f>SUMIFS(tblInvestments[Market_Value_CAD_Billions],tblInvestments[Date],$B$2,tblInvestments[Segment],Q7,tblInvestments[Asset_Class],R7)</f>
        <v>44.515999999999998</v>
      </c>
      <c r="T7" s="21">
        <f>SUMIFS(tblInvestments[Market_Value_CAD_Billions],tblInvestments[Date],$B$3,tblInvestments[Segment],Q7,tblInvestments[Asset_Class],R7)</f>
        <v>32.363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5" x14ac:dyDescent="0.3">
      <c r="A8" s="2"/>
      <c r="B8" s="2"/>
      <c r="C8" s="2"/>
      <c r="D8" s="25">
        <f>DATE(2024,3,1)</f>
        <v>45352</v>
      </c>
      <c r="E8" s="26">
        <f>SUMIFS(tblAUM[AUM_CAD_Billions],tblAUM[Date],D8,tblAUM[Segment],"Asset Management")</f>
        <v>344.49700000000001</v>
      </c>
      <c r="F8" s="26">
        <f>SUMIFS(tblAUM[AUM_CAD_Billions],tblAUM[Date],D8,tblAUM[Segment],"Wealth")</f>
        <v>57.278000000000006</v>
      </c>
      <c r="G8" s="26">
        <f>SUMIFS(tblAUM[AUM_CAD_Billions],tblAUM[Date],D8,tblAUM[Segment],"Insurance")</f>
        <v>28.512</v>
      </c>
      <c r="H8" s="27">
        <f t="shared" si="0"/>
        <v>430.28700000000003</v>
      </c>
      <c r="I8" s="28">
        <f t="shared" si="4"/>
        <v>4.8222650868008365E-3</v>
      </c>
      <c r="J8" s="2"/>
      <c r="K8" s="25">
        <f t="shared" si="1"/>
        <v>45352</v>
      </c>
      <c r="L8" s="26">
        <f>SUMIFS(tblGL[Amount_CAD_Millions],tblGL[Date],K8,tblGL[Type],"Revenue")</f>
        <v>142.95700000000002</v>
      </c>
      <c r="M8" s="26">
        <f>-SUMIFS(tblGL[Amount_CAD_Millions],tblGL[Date],K8,tblGL[Type],"Expense")</f>
        <v>84.86699999999999</v>
      </c>
      <c r="N8" s="27">
        <f t="shared" si="2"/>
        <v>58.090000000000032</v>
      </c>
      <c r="O8" s="29">
        <f t="shared" si="3"/>
        <v>0.40634596417104463</v>
      </c>
      <c r="P8" s="2"/>
      <c r="Q8" s="2" t="s">
        <v>10</v>
      </c>
      <c r="R8" s="2" t="s">
        <v>9</v>
      </c>
      <c r="S8" s="21">
        <f>SUMIFS(tblInvestments[Market_Value_CAD_Billions],tblInvestments[Date],$B$2,tblInvestments[Segment],Q8,tblInvestments[Asset_Class],R8)</f>
        <v>6.0049999999999999</v>
      </c>
      <c r="T8" s="21">
        <f>SUMIFS(tblInvestments[Market_Value_CAD_Billions],tblInvestments[Date],$B$3,tblInvestments[Segment],Q8,tblInvestments[Asset_Class],R8)</f>
        <v>6.0220000000000002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5" x14ac:dyDescent="0.3">
      <c r="A9" s="2"/>
      <c r="B9" s="2"/>
      <c r="C9" s="2"/>
      <c r="D9" s="25">
        <f>DATE(2024,4,1)</f>
        <v>45383</v>
      </c>
      <c r="E9" s="26">
        <f>SUMIFS(tblAUM[AUM_CAD_Billions],tblAUM[Date],D9,tblAUM[Segment],"Asset Management")</f>
        <v>347.44400000000002</v>
      </c>
      <c r="F9" s="26">
        <f>SUMIFS(tblAUM[AUM_CAD_Billions],tblAUM[Date],D9,tblAUM[Segment],"Wealth")</f>
        <v>57.424999999999997</v>
      </c>
      <c r="G9" s="26">
        <f>SUMIFS(tblAUM[AUM_CAD_Billions],tblAUM[Date],D9,tblAUM[Segment],"Insurance")</f>
        <v>28.732999999999997</v>
      </c>
      <c r="H9" s="27">
        <f t="shared" si="0"/>
        <v>433.60200000000003</v>
      </c>
      <c r="I9" s="28">
        <f t="shared" si="4"/>
        <v>7.7041602465330872E-3</v>
      </c>
      <c r="J9" s="2"/>
      <c r="K9" s="25">
        <f t="shared" si="1"/>
        <v>45383</v>
      </c>
      <c r="L9" s="26">
        <f>SUMIFS(tblGL[Amount_CAD_Millions],tblGL[Date],K9,tblGL[Type],"Revenue")</f>
        <v>148.92499999999995</v>
      </c>
      <c r="M9" s="26">
        <f>-SUMIFS(tblGL[Amount_CAD_Millions],tblGL[Date],K9,tblGL[Type],"Expense")</f>
        <v>87.034999999999982</v>
      </c>
      <c r="N9" s="27">
        <f t="shared" si="2"/>
        <v>61.889999999999972</v>
      </c>
      <c r="O9" s="29">
        <f t="shared" si="3"/>
        <v>0.41557831123048511</v>
      </c>
      <c r="P9" s="2"/>
      <c r="Q9" s="2" t="s">
        <v>11</v>
      </c>
      <c r="R9" s="2" t="s">
        <v>6</v>
      </c>
      <c r="S9" s="21">
        <f>SUMIFS(tblInvestments[Market_Value_CAD_Billions],tblInvestments[Date],$B$2,tblInvestments[Segment],Q9,tblInvestments[Asset_Class],R9)</f>
        <v>0</v>
      </c>
      <c r="T9" s="21">
        <f>SUMIFS(tblInvestments[Market_Value_CAD_Billions],tblInvestments[Date],$B$3,tblInvestments[Segment],Q9,tblInvestments[Asset_Class],R9)</f>
        <v>21.934000000000001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5" x14ac:dyDescent="0.3">
      <c r="A10" s="2"/>
      <c r="B10" s="2"/>
      <c r="C10" s="2"/>
      <c r="D10" s="25">
        <f>DATE(2024,5,1)</f>
        <v>45413</v>
      </c>
      <c r="E10" s="26">
        <f>SUMIFS(tblAUM[AUM_CAD_Billions],tblAUM[Date],D10,tblAUM[Segment],"Asset Management")</f>
        <v>347.23199999999997</v>
      </c>
      <c r="F10" s="26">
        <f>SUMIFS(tblAUM[AUM_CAD_Billions],tblAUM[Date],D10,tblAUM[Segment],"Wealth")</f>
        <v>57.630999999999993</v>
      </c>
      <c r="G10" s="26">
        <f>SUMIFS(tblAUM[AUM_CAD_Billions],tblAUM[Date],D10,tblAUM[Segment],"Insurance")</f>
        <v>28.747</v>
      </c>
      <c r="H10" s="27">
        <f t="shared" si="0"/>
        <v>433.60999999999996</v>
      </c>
      <c r="I10" s="28">
        <f t="shared" si="4"/>
        <v>1.8450099399824893E-5</v>
      </c>
      <c r="J10" s="2"/>
      <c r="K10" s="25">
        <f t="shared" si="1"/>
        <v>45413</v>
      </c>
      <c r="L10" s="26">
        <f>SUMIFS(tblGL[Amount_CAD_Millions],tblGL[Date],K10,tblGL[Type],"Revenue")</f>
        <v>148.739</v>
      </c>
      <c r="M10" s="26">
        <f>-SUMIFS(tblGL[Amount_CAD_Millions],tblGL[Date],K10,tblGL[Type],"Expense")</f>
        <v>85.026000000000025</v>
      </c>
      <c r="N10" s="27">
        <f t="shared" si="2"/>
        <v>63.71299999999998</v>
      </c>
      <c r="O10" s="29">
        <f t="shared" si="3"/>
        <v>0.42835436570099289</v>
      </c>
      <c r="P10" s="2"/>
      <c r="Q10" s="2" t="s">
        <v>11</v>
      </c>
      <c r="R10" s="2" t="s">
        <v>8</v>
      </c>
      <c r="S10" s="21">
        <f>SUMIFS(tblInvestments[Market_Value_CAD_Billions],tblInvestments[Date],$B$2,tblInvestments[Segment],Q10,tblInvestments[Asset_Class],R10)</f>
        <v>0</v>
      </c>
      <c r="T10" s="21">
        <f>SUMIFS(tblInvestments[Market_Value_CAD_Billions],tblInvestments[Date],$B$3,tblInvestments[Segment],Q10,tblInvestments[Asset_Class],R10)</f>
        <v>4.0339999999999998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5" x14ac:dyDescent="0.3">
      <c r="A11" s="2"/>
      <c r="B11" s="2"/>
      <c r="C11" s="2"/>
      <c r="D11" s="25">
        <f>DATE(2024,6,1)</f>
        <v>45444</v>
      </c>
      <c r="E11" s="26">
        <f>SUMIFS(tblAUM[AUM_CAD_Billions],tblAUM[Date],D11,tblAUM[Segment],"Asset Management")</f>
        <v>348.459</v>
      </c>
      <c r="F11" s="26">
        <f>SUMIFS(tblAUM[AUM_CAD_Billions],tblAUM[Date],D11,tblAUM[Segment],"Wealth")</f>
        <v>57.712000000000003</v>
      </c>
      <c r="G11" s="26">
        <f>SUMIFS(tblAUM[AUM_CAD_Billions],tblAUM[Date],D11,tblAUM[Segment],"Insurance")</f>
        <v>28.875</v>
      </c>
      <c r="H11" s="27">
        <f t="shared" si="0"/>
        <v>435.04599999999999</v>
      </c>
      <c r="I11" s="28">
        <f t="shared" si="4"/>
        <v>3.3117317405042535E-3</v>
      </c>
      <c r="J11" s="2"/>
      <c r="K11" s="25">
        <f t="shared" si="1"/>
        <v>45444</v>
      </c>
      <c r="L11" s="26">
        <f>SUMIFS(tblGL[Amount_CAD_Millions],tblGL[Date],K11,tblGL[Type],"Revenue")</f>
        <v>145.53199999999998</v>
      </c>
      <c r="M11" s="26">
        <f>-SUMIFS(tblGL[Amount_CAD_Millions],tblGL[Date],K11,tblGL[Type],"Expense")</f>
        <v>84.187999999999988</v>
      </c>
      <c r="N11" s="27">
        <f t="shared" si="2"/>
        <v>61.343999999999994</v>
      </c>
      <c r="O11" s="29">
        <f t="shared" si="3"/>
        <v>0.42151554297336669</v>
      </c>
      <c r="P11" s="2"/>
      <c r="Q11" s="2" t="s">
        <v>11</v>
      </c>
      <c r="R11" s="2" t="s">
        <v>9</v>
      </c>
      <c r="S11" s="21">
        <f>SUMIFS(tblInvestments[Market_Value_CAD_Billions],tblInvestments[Date],$B$2,tblInvestments[Segment],Q11,tblInvestments[Asset_Class],R11)</f>
        <v>0</v>
      </c>
      <c r="T11" s="21">
        <f>SUMIFS(tblInvestments[Market_Value_CAD_Billions],tblInvestments[Date],$B$3,tblInvestments[Segment],Q11,tblInvestments[Asset_Class],R11)</f>
        <v>1.9910000000000001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5" x14ac:dyDescent="0.3">
      <c r="A12" s="2"/>
      <c r="B12" s="2"/>
      <c r="C12" s="2"/>
      <c r="D12" s="25">
        <f>DATE(2024,7,1)</f>
        <v>45474</v>
      </c>
      <c r="E12" s="26">
        <f>SUMIFS(tblAUM[AUM_CAD_Billions],tblAUM[Date],D12,tblAUM[Segment],"Asset Management")</f>
        <v>349.11500000000001</v>
      </c>
      <c r="F12" s="26">
        <f>SUMIFS(tblAUM[AUM_CAD_Billions],tblAUM[Date],D12,tblAUM[Segment],"Wealth")</f>
        <v>58.007000000000005</v>
      </c>
      <c r="G12" s="26">
        <f>SUMIFS(tblAUM[AUM_CAD_Billions],tblAUM[Date],D12,tblAUM[Segment],"Insurance")</f>
        <v>29.041</v>
      </c>
      <c r="H12" s="27">
        <f t="shared" si="0"/>
        <v>436.16300000000001</v>
      </c>
      <c r="I12" s="28">
        <f t="shared" si="4"/>
        <v>2.5675445814925535E-3</v>
      </c>
      <c r="J12" s="2"/>
      <c r="K12" s="25">
        <f t="shared" si="1"/>
        <v>45474</v>
      </c>
      <c r="L12" s="26">
        <f>SUMIFS(tblGL[Amount_CAD_Millions],tblGL[Date],K12,tblGL[Type],"Revenue")</f>
        <v>145.34299999999999</v>
      </c>
      <c r="M12" s="26">
        <f>-SUMIFS(tblGL[Amount_CAD_Millions],tblGL[Date],K12,tblGL[Type],"Expense")</f>
        <v>86.697000000000017</v>
      </c>
      <c r="N12" s="27">
        <f t="shared" si="2"/>
        <v>58.645999999999972</v>
      </c>
      <c r="O12" s="29">
        <f t="shared" si="3"/>
        <v>0.40350068458749289</v>
      </c>
      <c r="P12" s="2"/>
      <c r="Q12" s="9" t="s">
        <v>117</v>
      </c>
      <c r="R12" s="9"/>
      <c r="S12" s="38">
        <f>SUM(S3:S11)</f>
        <v>472.846</v>
      </c>
      <c r="T12" s="38">
        <f>SUM(T3:T11)</f>
        <v>423.49899999999997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5" x14ac:dyDescent="0.3">
      <c r="A13" s="2"/>
      <c r="B13" s="2"/>
      <c r="C13" s="2"/>
      <c r="D13" s="25">
        <f>DATE(2024,8,1)</f>
        <v>45505</v>
      </c>
      <c r="E13" s="26">
        <f>SUMIFS(tblAUM[AUM_CAD_Billions],tblAUM[Date],D13,tblAUM[Segment],"Asset Management")</f>
        <v>352.38300000000004</v>
      </c>
      <c r="F13" s="26">
        <f>SUMIFS(tblAUM[AUM_CAD_Billions],tblAUM[Date],D13,tblAUM[Segment],"Wealth")</f>
        <v>58.238</v>
      </c>
      <c r="G13" s="26">
        <f>SUMIFS(tblAUM[AUM_CAD_Billions],tblAUM[Date],D13,tblAUM[Segment],"Insurance")</f>
        <v>28.980999999999998</v>
      </c>
      <c r="H13" s="27">
        <f t="shared" si="0"/>
        <v>439.60200000000003</v>
      </c>
      <c r="I13" s="28">
        <f t="shared" si="4"/>
        <v>7.884666970834342E-3</v>
      </c>
      <c r="J13" s="2"/>
      <c r="K13" s="25">
        <f t="shared" si="1"/>
        <v>45505</v>
      </c>
      <c r="L13" s="26">
        <f>SUMIFS(tblGL[Amount_CAD_Millions],tblGL[Date],K13,tblGL[Type],"Revenue")</f>
        <v>147.93799999999999</v>
      </c>
      <c r="M13" s="26">
        <f>-SUMIFS(tblGL[Amount_CAD_Millions],tblGL[Date],K13,tblGL[Type],"Expense")</f>
        <v>85.33</v>
      </c>
      <c r="N13" s="27">
        <f t="shared" si="2"/>
        <v>62.60799999999999</v>
      </c>
      <c r="O13" s="29">
        <f t="shared" si="3"/>
        <v>0.42320431532128322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5" x14ac:dyDescent="0.3">
      <c r="A14" s="2"/>
      <c r="B14" s="2"/>
      <c r="C14" s="2"/>
      <c r="D14" s="25">
        <f>DATE(2024,9,1)</f>
        <v>45536</v>
      </c>
      <c r="E14" s="26">
        <f>SUMIFS(tblAUM[AUM_CAD_Billions],tblAUM[Date],D14,tblAUM[Segment],"Asset Management")</f>
        <v>354.37299999999999</v>
      </c>
      <c r="F14" s="26">
        <f>SUMIFS(tblAUM[AUM_CAD_Billions],tblAUM[Date],D14,tblAUM[Segment],"Wealth")</f>
        <v>58.811999999999998</v>
      </c>
      <c r="G14" s="26">
        <f>SUMIFS(tblAUM[AUM_CAD_Billions],tblAUM[Date],D14,tblAUM[Segment],"Insurance")</f>
        <v>29.270999999999997</v>
      </c>
      <c r="H14" s="27">
        <f t="shared" si="0"/>
        <v>442.45600000000002</v>
      </c>
      <c r="I14" s="28">
        <f t="shared" si="4"/>
        <v>6.4922361590711297E-3</v>
      </c>
      <c r="J14" s="2"/>
      <c r="K14" s="25">
        <f t="shared" si="1"/>
        <v>45536</v>
      </c>
      <c r="L14" s="26">
        <f>SUMIFS(tblGL[Amount_CAD_Millions],tblGL[Date],K14,tblGL[Type],"Revenue")</f>
        <v>147.51400000000004</v>
      </c>
      <c r="M14" s="26">
        <f>-SUMIFS(tblGL[Amount_CAD_Millions],tblGL[Date],K14,tblGL[Type],"Expense")</f>
        <v>85.638000000000005</v>
      </c>
      <c r="N14" s="27">
        <f t="shared" si="2"/>
        <v>61.876000000000033</v>
      </c>
      <c r="O14" s="29">
        <f t="shared" si="3"/>
        <v>0.41945849207532854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5" x14ac:dyDescent="0.3">
      <c r="A15" s="2"/>
      <c r="B15" s="2"/>
      <c r="C15" s="2"/>
      <c r="D15" s="25">
        <f>DATE(2024,10,1)</f>
        <v>45566</v>
      </c>
      <c r="E15" s="26">
        <f>SUMIFS(tblAUM[AUM_CAD_Billions],tblAUM[Date],D15,tblAUM[Segment],"Asset Management")</f>
        <v>354.45800000000003</v>
      </c>
      <c r="F15" s="26">
        <f>SUMIFS(tblAUM[AUM_CAD_Billions],tblAUM[Date],D15,tblAUM[Segment],"Wealth")</f>
        <v>58.884999999999998</v>
      </c>
      <c r="G15" s="26">
        <f>SUMIFS(tblAUM[AUM_CAD_Billions],tblAUM[Date],D15,tblAUM[Segment],"Insurance")</f>
        <v>29.490000000000002</v>
      </c>
      <c r="H15" s="27">
        <f t="shared" si="0"/>
        <v>442.83300000000003</v>
      </c>
      <c r="I15" s="28">
        <f t="shared" si="4"/>
        <v>8.5206212595156927E-4</v>
      </c>
      <c r="J15" s="2"/>
      <c r="K15" s="25">
        <f t="shared" si="1"/>
        <v>45566</v>
      </c>
      <c r="L15" s="26">
        <f>SUMIFS(tblGL[Amount_CAD_Millions],tblGL[Date],K15,tblGL[Type],"Revenue")</f>
        <v>147.36000000000001</v>
      </c>
      <c r="M15" s="26">
        <f>-SUMIFS(tblGL[Amount_CAD_Millions],tblGL[Date],K15,tblGL[Type],"Expense")</f>
        <v>85.076999999999998</v>
      </c>
      <c r="N15" s="27">
        <f t="shared" si="2"/>
        <v>62.283000000000015</v>
      </c>
      <c r="O15" s="29">
        <f t="shared" si="3"/>
        <v>0.42265879478827367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5" x14ac:dyDescent="0.3">
      <c r="A16" s="2"/>
      <c r="B16" s="2"/>
      <c r="C16" s="2"/>
      <c r="D16" s="25">
        <f>DATE(2024,11,1)</f>
        <v>45597</v>
      </c>
      <c r="E16" s="26">
        <f>SUMIFS(tblAUM[AUM_CAD_Billions],tblAUM[Date],D16,tblAUM[Segment],"Asset Management")</f>
        <v>355.85</v>
      </c>
      <c r="F16" s="26">
        <f>SUMIFS(tblAUM[AUM_CAD_Billions],tblAUM[Date],D16,tblAUM[Segment],"Wealth")</f>
        <v>59.048000000000002</v>
      </c>
      <c r="G16" s="26">
        <f>SUMIFS(tblAUM[AUM_CAD_Billions],tblAUM[Date],D16,tblAUM[Segment],"Insurance")</f>
        <v>29.402000000000001</v>
      </c>
      <c r="H16" s="27">
        <f t="shared" si="0"/>
        <v>444.3</v>
      </c>
      <c r="I16" s="28">
        <f t="shared" si="4"/>
        <v>3.312761244080642E-3</v>
      </c>
      <c r="J16" s="2"/>
      <c r="K16" s="25">
        <f t="shared" si="1"/>
        <v>45597</v>
      </c>
      <c r="L16" s="26">
        <f>SUMIFS(tblGL[Amount_CAD_Millions],tblGL[Date],K16,tblGL[Type],"Revenue")</f>
        <v>151.88200000000001</v>
      </c>
      <c r="M16" s="26">
        <f>-SUMIFS(tblGL[Amount_CAD_Millions],tblGL[Date],K16,tblGL[Type],"Expense")</f>
        <v>88.658000000000015</v>
      </c>
      <c r="N16" s="27">
        <f t="shared" si="2"/>
        <v>63.22399999999999</v>
      </c>
      <c r="O16" s="29">
        <f t="shared" si="3"/>
        <v>0.41627052580292589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3">
      <c r="A17" s="2"/>
      <c r="B17" s="2"/>
      <c r="C17" s="2"/>
      <c r="D17" s="25">
        <f>DATE(2024,12,1)</f>
        <v>45627</v>
      </c>
      <c r="E17" s="26">
        <f>SUMIFS(tblAUM[AUM_CAD_Billions],tblAUM[Date],D17,tblAUM[Segment],"Asset Management")</f>
        <v>357.55600000000004</v>
      </c>
      <c r="F17" s="26">
        <f>SUMIFS(tblAUM[AUM_CAD_Billions],tblAUM[Date],D17,tblAUM[Segment],"Wealth")</f>
        <v>59.051000000000002</v>
      </c>
      <c r="G17" s="26">
        <f>SUMIFS(tblAUM[AUM_CAD_Billions],tblAUM[Date],D17,tblAUM[Segment],"Insurance")</f>
        <v>29.557000000000002</v>
      </c>
      <c r="H17" s="27">
        <f t="shared" si="0"/>
        <v>446.16400000000004</v>
      </c>
      <c r="I17" s="28">
        <f t="shared" si="4"/>
        <v>4.1953634931353179E-3</v>
      </c>
      <c r="J17" s="2"/>
      <c r="K17" s="25">
        <f t="shared" si="1"/>
        <v>45627</v>
      </c>
      <c r="L17" s="26">
        <f>SUMIFS(tblGL[Amount_CAD_Millions],tblGL[Date],K17,tblGL[Type],"Revenue")</f>
        <v>143.99</v>
      </c>
      <c r="M17" s="26">
        <f>-SUMIFS(tblGL[Amount_CAD_Millions],tblGL[Date],K17,tblGL[Type],"Expense")</f>
        <v>85.981999999999999</v>
      </c>
      <c r="N17" s="27">
        <f t="shared" si="2"/>
        <v>58.00800000000001</v>
      </c>
      <c r="O17" s="29">
        <f t="shared" si="3"/>
        <v>0.40286130981318152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3">
      <c r="A18" s="2"/>
      <c r="B18" s="2"/>
      <c r="C18" s="2"/>
      <c r="D18" s="25">
        <f>DATE(2025,1,1)</f>
        <v>45658</v>
      </c>
      <c r="E18" s="26">
        <f>SUMIFS(tblAUM[AUM_CAD_Billions],tblAUM[Date],D18,tblAUM[Segment],"Asset Management")</f>
        <v>359.858</v>
      </c>
      <c r="F18" s="26">
        <f>SUMIFS(tblAUM[AUM_CAD_Billions],tblAUM[Date],D18,tblAUM[Segment],"Wealth")</f>
        <v>59.718999999999994</v>
      </c>
      <c r="G18" s="26">
        <f>SUMIFS(tblAUM[AUM_CAD_Billions],tblAUM[Date],D18,tblAUM[Segment],"Insurance")</f>
        <v>29.591000000000001</v>
      </c>
      <c r="H18" s="27">
        <f t="shared" si="0"/>
        <v>449.16800000000001</v>
      </c>
      <c r="I18" s="28">
        <f t="shared" si="4"/>
        <v>6.7329502156157073E-3</v>
      </c>
      <c r="J18" s="2"/>
      <c r="K18" s="25">
        <f t="shared" si="1"/>
        <v>45658</v>
      </c>
      <c r="L18" s="26">
        <f>SUMIFS(tblGL[Amount_CAD_Millions],tblGL[Date],K18,tblGL[Type],"Revenue")</f>
        <v>147.59100000000001</v>
      </c>
      <c r="M18" s="26">
        <f>-SUMIFS(tblGL[Amount_CAD_Millions],tblGL[Date],K18,tblGL[Type],"Expense")</f>
        <v>86.392999999999972</v>
      </c>
      <c r="N18" s="27">
        <f t="shared" si="2"/>
        <v>61.198000000000036</v>
      </c>
      <c r="O18" s="29">
        <f t="shared" si="3"/>
        <v>0.41464587949129711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3">
      <c r="A19" s="2"/>
      <c r="B19" s="2"/>
      <c r="C19" s="2"/>
      <c r="D19" s="25">
        <f>DATE(2025,2,1)</f>
        <v>45689</v>
      </c>
      <c r="E19" s="26">
        <f>SUMIFS(tblAUM[AUM_CAD_Billions],tblAUM[Date],D19,tblAUM[Segment],"Asset Management")</f>
        <v>360.67700000000002</v>
      </c>
      <c r="F19" s="26">
        <f>SUMIFS(tblAUM[AUM_CAD_Billions],tblAUM[Date],D19,tblAUM[Segment],"Wealth")</f>
        <v>59.653999999999996</v>
      </c>
      <c r="G19" s="26">
        <f>SUMIFS(tblAUM[AUM_CAD_Billions],tblAUM[Date],D19,tblAUM[Segment],"Insurance")</f>
        <v>29.969000000000001</v>
      </c>
      <c r="H19" s="27">
        <f t="shared" si="0"/>
        <v>450.3</v>
      </c>
      <c r="I19" s="28">
        <f t="shared" si="4"/>
        <v>2.5202151533501027E-3</v>
      </c>
      <c r="J19" s="2"/>
      <c r="K19" s="25">
        <f t="shared" si="1"/>
        <v>45689</v>
      </c>
      <c r="L19" s="26">
        <f>SUMIFS(tblGL[Amount_CAD_Millions],tblGL[Date],K19,tblGL[Type],"Revenue")</f>
        <v>154.327</v>
      </c>
      <c r="M19" s="26">
        <f>-SUMIFS(tblGL[Amount_CAD_Millions],tblGL[Date],K19,tblGL[Type],"Expense")</f>
        <v>87.499000000000009</v>
      </c>
      <c r="N19" s="27">
        <f t="shared" si="2"/>
        <v>66.827999999999989</v>
      </c>
      <c r="O19" s="29">
        <f t="shared" si="3"/>
        <v>0.4330285692069436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3">
      <c r="A20" s="2"/>
      <c r="B20" s="2"/>
      <c r="C20" s="2"/>
      <c r="D20" s="25">
        <f>DATE(2025,3,1)</f>
        <v>45717</v>
      </c>
      <c r="E20" s="26">
        <f>SUMIFS(tblAUM[AUM_CAD_Billions],tblAUM[Date],D20,tblAUM[Segment],"Asset Management")</f>
        <v>360.45400000000001</v>
      </c>
      <c r="F20" s="26">
        <f>SUMIFS(tblAUM[AUM_CAD_Billions],tblAUM[Date],D20,tblAUM[Segment],"Wealth")</f>
        <v>59.808999999999997</v>
      </c>
      <c r="G20" s="26">
        <f>SUMIFS(tblAUM[AUM_CAD_Billions],tblAUM[Date],D20,tblAUM[Segment],"Insurance")</f>
        <v>30.064999999999998</v>
      </c>
      <c r="H20" s="27">
        <f t="shared" si="0"/>
        <v>450.32800000000003</v>
      </c>
      <c r="I20" s="28">
        <f t="shared" si="4"/>
        <v>6.2180768376718376E-5</v>
      </c>
      <c r="J20" s="2"/>
      <c r="K20" s="25">
        <f t="shared" si="1"/>
        <v>45717</v>
      </c>
      <c r="L20" s="26">
        <f>SUMIFS(tblGL[Amount_CAD_Millions],tblGL[Date],K20,tblGL[Type],"Revenue")</f>
        <v>148.29300000000001</v>
      </c>
      <c r="M20" s="26">
        <f>-SUMIFS(tblGL[Amount_CAD_Millions],tblGL[Date],K20,tblGL[Type],"Expense")</f>
        <v>88.623999999999967</v>
      </c>
      <c r="N20" s="27">
        <f t="shared" si="2"/>
        <v>59.66900000000004</v>
      </c>
      <c r="O20" s="29">
        <f t="shared" si="3"/>
        <v>0.40237233045389897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3">
      <c r="A21" s="2"/>
      <c r="B21" s="2"/>
      <c r="C21" s="2"/>
      <c r="D21" s="25">
        <f>DATE(2025,4,1)</f>
        <v>45748</v>
      </c>
      <c r="E21" s="26">
        <f>SUMIFS(tblAUM[AUM_CAD_Billions],tblAUM[Date],D21,tblAUM[Segment],"Asset Management")</f>
        <v>364.904</v>
      </c>
      <c r="F21" s="26">
        <f>SUMIFS(tblAUM[AUM_CAD_Billions],tblAUM[Date],D21,tblAUM[Segment],"Wealth")</f>
        <v>60.188000000000002</v>
      </c>
      <c r="G21" s="26">
        <f>SUMIFS(tblAUM[AUM_CAD_Billions],tblAUM[Date],D21,tblAUM[Segment],"Insurance")</f>
        <v>30.024999999999999</v>
      </c>
      <c r="H21" s="27">
        <f t="shared" si="0"/>
        <v>455.11699999999996</v>
      </c>
      <c r="I21" s="28">
        <f t="shared" si="4"/>
        <v>1.0634470874562485E-2</v>
      </c>
      <c r="J21" s="2"/>
      <c r="K21" s="25">
        <f t="shared" si="1"/>
        <v>45748</v>
      </c>
      <c r="L21" s="26">
        <f>SUMIFS(tblGL[Amount_CAD_Millions],tblGL[Date],K21,tblGL[Type],"Revenue")</f>
        <v>153.02799999999999</v>
      </c>
      <c r="M21" s="26">
        <f>-SUMIFS(tblGL[Amount_CAD_Millions],tblGL[Date],K21,tblGL[Type],"Expense")</f>
        <v>90.820000000000007</v>
      </c>
      <c r="N21" s="27">
        <f t="shared" si="2"/>
        <v>62.207999999999984</v>
      </c>
      <c r="O21" s="29">
        <f t="shared" si="3"/>
        <v>0.40651384060433376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3">
      <c r="A22" s="2"/>
      <c r="B22" s="2"/>
      <c r="C22" s="2"/>
      <c r="D22" s="25">
        <f>DATE(2025,5,1)</f>
        <v>45778</v>
      </c>
      <c r="E22" s="26">
        <f>SUMIFS(tblAUM[AUM_CAD_Billions],tblAUM[Date],D22,tblAUM[Segment],"Asset Management")</f>
        <v>364.05900000000003</v>
      </c>
      <c r="F22" s="26">
        <f>SUMIFS(tblAUM[AUM_CAD_Billions],tblAUM[Date],D22,tblAUM[Segment],"Wealth")</f>
        <v>60.338000000000001</v>
      </c>
      <c r="G22" s="26">
        <f>SUMIFS(tblAUM[AUM_CAD_Billions],tblAUM[Date],D22,tblAUM[Segment],"Insurance")</f>
        <v>30.184000000000001</v>
      </c>
      <c r="H22" s="27">
        <f t="shared" si="0"/>
        <v>454.58100000000007</v>
      </c>
      <c r="I22" s="28">
        <f t="shared" si="4"/>
        <v>-1.1777191359582107E-3</v>
      </c>
      <c r="J22" s="2"/>
      <c r="K22" s="25">
        <f t="shared" si="1"/>
        <v>45778</v>
      </c>
      <c r="L22" s="26">
        <f>SUMIFS(tblGL[Amount_CAD_Millions],tblGL[Date],K22,tblGL[Type],"Revenue")</f>
        <v>151.82300000000001</v>
      </c>
      <c r="M22" s="26">
        <f>-SUMIFS(tblGL[Amount_CAD_Millions],tblGL[Date],K22,tblGL[Type],"Expense")</f>
        <v>88.483000000000004</v>
      </c>
      <c r="N22" s="27">
        <f t="shared" si="2"/>
        <v>63.34</v>
      </c>
      <c r="O22" s="29">
        <f t="shared" si="3"/>
        <v>0.41719634047542203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3">
      <c r="A23" s="2"/>
      <c r="B23" s="2"/>
      <c r="C23" s="2"/>
      <c r="D23" s="25">
        <f>DATE(2025,6,1)</f>
        <v>45809</v>
      </c>
      <c r="E23" s="26">
        <f>SUMIFS(tblAUM[AUM_CAD_Billions],tblAUM[Date],D23,tblAUM[Segment],"Asset Management")</f>
        <v>366.71800000000002</v>
      </c>
      <c r="F23" s="26">
        <f>SUMIFS(tblAUM[AUM_CAD_Billions],tblAUM[Date],D23,tblAUM[Segment],"Wealth")</f>
        <v>60.65</v>
      </c>
      <c r="G23" s="26">
        <f>SUMIFS(tblAUM[AUM_CAD_Billions],tblAUM[Date],D23,tblAUM[Segment],"Insurance")</f>
        <v>30.334</v>
      </c>
      <c r="H23" s="27">
        <f t="shared" si="0"/>
        <v>457.702</v>
      </c>
      <c r="I23" s="28">
        <f t="shared" si="4"/>
        <v>6.8656631051449146E-3</v>
      </c>
      <c r="J23" s="2"/>
      <c r="K23" s="25">
        <f t="shared" si="1"/>
        <v>45809</v>
      </c>
      <c r="L23" s="26">
        <f>SUMIFS(tblGL[Amount_CAD_Millions],tblGL[Date],K23,tblGL[Type],"Revenue")</f>
        <v>150.68599999999998</v>
      </c>
      <c r="M23" s="26">
        <f>-SUMIFS(tblGL[Amount_CAD_Millions],tblGL[Date],K23,tblGL[Type],"Expense")</f>
        <v>90.535000000000025</v>
      </c>
      <c r="N23" s="27">
        <f t="shared" si="2"/>
        <v>60.150999999999954</v>
      </c>
      <c r="O23" s="29">
        <f t="shared" si="3"/>
        <v>0.39918107853417012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3">
      <c r="A24" s="2"/>
      <c r="B24" s="2"/>
      <c r="C24" s="2"/>
      <c r="D24" s="25">
        <f>DATE(2025,7,1)</f>
        <v>45839</v>
      </c>
      <c r="E24" s="26">
        <f>SUMIFS(tblAUM[AUM_CAD_Billions],tblAUM[Date],D24,tblAUM[Segment],"Asset Management")</f>
        <v>368.78899999999999</v>
      </c>
      <c r="F24" s="26">
        <f>SUMIFS(tblAUM[AUM_CAD_Billions],tblAUM[Date],D24,tblAUM[Segment],"Wealth")</f>
        <v>61.09</v>
      </c>
      <c r="G24" s="26">
        <f>SUMIFS(tblAUM[AUM_CAD_Billions],tblAUM[Date],D24,tblAUM[Segment],"Insurance")</f>
        <v>30.623999999999999</v>
      </c>
      <c r="H24" s="27">
        <f t="shared" si="0"/>
        <v>460.50300000000004</v>
      </c>
      <c r="I24" s="28">
        <f t="shared" si="4"/>
        <v>6.1197023390766603E-3</v>
      </c>
      <c r="J24" s="2"/>
      <c r="K24" s="25">
        <f t="shared" si="1"/>
        <v>45839</v>
      </c>
      <c r="L24" s="26">
        <f>SUMIFS(tblGL[Amount_CAD_Millions],tblGL[Date],K24,tblGL[Type],"Revenue")</f>
        <v>154.61899999999997</v>
      </c>
      <c r="M24" s="26">
        <f>-SUMIFS(tblGL[Amount_CAD_Millions],tblGL[Date],K24,tblGL[Type],"Expense")</f>
        <v>87.669999999999987</v>
      </c>
      <c r="N24" s="27">
        <f t="shared" si="2"/>
        <v>66.948999999999984</v>
      </c>
      <c r="O24" s="29">
        <f t="shared" si="3"/>
        <v>0.4329933578667563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3">
      <c r="A25" s="2"/>
      <c r="B25" s="2"/>
      <c r="C25" s="2"/>
      <c r="D25" s="25">
        <f>DATE(2025,8,1)</f>
        <v>45870</v>
      </c>
      <c r="E25" s="26">
        <f>SUMIFS(tblAUM[AUM_CAD_Billions],tblAUM[Date],D25,tblAUM[Segment],"Asset Management")</f>
        <v>370.09100000000001</v>
      </c>
      <c r="F25" s="26">
        <f>SUMIFS(tblAUM[AUM_CAD_Billions],tblAUM[Date],D25,tblAUM[Segment],"Wealth")</f>
        <v>61.037999999999997</v>
      </c>
      <c r="G25" s="26">
        <f>SUMIFS(tblAUM[AUM_CAD_Billions],tblAUM[Date],D25,tblAUM[Segment],"Insurance")</f>
        <v>30.676000000000002</v>
      </c>
      <c r="H25" s="27">
        <f t="shared" si="0"/>
        <v>461.80500000000001</v>
      </c>
      <c r="I25" s="28">
        <f t="shared" si="4"/>
        <v>2.8273431443441854E-3</v>
      </c>
      <c r="J25" s="2"/>
      <c r="K25" s="25">
        <f t="shared" si="1"/>
        <v>45870</v>
      </c>
      <c r="L25" s="26">
        <f>SUMIFS(tblGL[Amount_CAD_Millions],tblGL[Date],K25,tblGL[Type],"Revenue")</f>
        <v>149.16800000000001</v>
      </c>
      <c r="M25" s="26">
        <f>-SUMIFS(tblGL[Amount_CAD_Millions],tblGL[Date],K25,tblGL[Type],"Expense")</f>
        <v>90.282999999999987</v>
      </c>
      <c r="N25" s="27">
        <f t="shared" si="2"/>
        <v>58.885000000000019</v>
      </c>
      <c r="O25" s="29">
        <f t="shared" si="3"/>
        <v>0.3947562479888449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3">
      <c r="A26" s="2"/>
      <c r="B26" s="2"/>
      <c r="C26" s="2"/>
      <c r="D26" s="25">
        <f>DATE(2025,9,1)</f>
        <v>45901</v>
      </c>
      <c r="E26" s="26">
        <f>SUMIFS(tblAUM[AUM_CAD_Billions],tblAUM[Date],D26,tblAUM[Segment],"Asset Management")</f>
        <v>371.54599999999999</v>
      </c>
      <c r="F26" s="26">
        <f>SUMIFS(tblAUM[AUM_CAD_Billions],tblAUM[Date],D26,tblAUM[Segment],"Wealth")</f>
        <v>57.341000000000001</v>
      </c>
      <c r="G26" s="26">
        <f>SUMIFS(tblAUM[AUM_CAD_Billions],tblAUM[Date],D26,tblAUM[Segment],"Insurance")</f>
        <v>0</v>
      </c>
      <c r="H26" s="27">
        <f t="shared" si="0"/>
        <v>428.887</v>
      </c>
      <c r="I26" s="28">
        <f t="shared" si="4"/>
        <v>-7.1281168458548483E-2</v>
      </c>
      <c r="J26" s="2"/>
      <c r="K26" s="25">
        <f t="shared" si="1"/>
        <v>45901</v>
      </c>
      <c r="L26" s="26">
        <f>SUMIFS(tblGL[Amount_CAD_Millions],tblGL[Date],K26,tblGL[Type],"Revenue")</f>
        <v>155.42899999999997</v>
      </c>
      <c r="M26" s="26">
        <f>-SUMIFS(tblGL[Amount_CAD_Millions],tblGL[Date],K26,tblGL[Type],"Expense")</f>
        <v>91.200999999999979</v>
      </c>
      <c r="N26" s="27">
        <f t="shared" si="2"/>
        <v>64.227999999999994</v>
      </c>
      <c r="O26" s="29">
        <f t="shared" si="3"/>
        <v>0.41323047822478431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</sheetData>
  <mergeCells count="7">
    <mergeCell ref="AH1:AI1"/>
    <mergeCell ref="A1:B1"/>
    <mergeCell ref="D1:I1"/>
    <mergeCell ref="K1:O1"/>
    <mergeCell ref="Q1:T1"/>
    <mergeCell ref="V1:Z1"/>
    <mergeCell ref="AB1:AF1"/>
  </mergeCells>
  <conditionalFormatting sqref="D3:I26">
    <cfRule type="expression" dxfId="29" priority="5">
      <formula>$D3=$B$2</formula>
    </cfRule>
    <cfRule type="expression" dxfId="28" priority="6">
      <formula>$D3=$B$3</formula>
    </cfRule>
  </conditionalFormatting>
  <conditionalFormatting sqref="H3:H2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{5D20420B-A27F-4540-B0F9-80EE7758B095}</x14:id>
        </ext>
      </extLst>
    </cfRule>
  </conditionalFormatting>
  <conditionalFormatting sqref="I3:I26">
    <cfRule type="colorScale" priority="1">
      <colorScale>
        <cfvo type="min"/>
        <cfvo type="percent" val="50"/>
        <cfvo type="max"/>
        <color rgb="FFF8696B"/>
        <color rgb="FFFFFFFF"/>
        <color rgb="FF63BE7B"/>
      </colorScale>
    </cfRule>
    <cfRule type="expression" dxfId="27" priority="2">
      <formula>ABS(I3)&gt;$B$4</formula>
    </cfRule>
  </conditionalFormatting>
  <conditionalFormatting sqref="K3:O26">
    <cfRule type="expression" dxfId="26" priority="7">
      <formula>$K3=$B$2</formula>
    </cfRule>
    <cfRule type="expression" dxfId="25" priority="8">
      <formula>$K3=$B$3</formula>
    </cfRule>
  </conditionalFormatting>
  <conditionalFormatting sqref="O3:O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{70EEBC3A-C744-43A9-8479-8FC9825F13E4}</x14:id>
        </ext>
      </extLst>
    </cfRule>
  </conditionalFormatting>
  <dataValidations count="4">
    <dataValidation type="date" allowBlank="1" showInputMessage="1" showErrorMessage="1" errorTitle="Invalid Reporting Date" error="Enter a valid date between 1/1/2020 and 12/31/2030" promptTitle="Current Reporting Month" prompt="First day of the current reporting month (e.g., 9/1/2025)" sqref="B2" xr:uid="{547C7C57-0743-467B-8685-A321421F28E5}">
      <formula1>43831</formula1>
      <formula2>47848</formula2>
    </dataValidation>
    <dataValidation type="date" allowBlank="1" showInputMessage="1" showErrorMessage="1" errorTitle="Invalid Prior Date" error="Enter a valid date between 1/1/2020 and 12/31/2030" sqref="B3" xr:uid="{E93FBA8F-B4E4-41E5-BB56-EACE0AAC05B7}">
      <formula1>43831</formula1>
      <formula2>47848</formula2>
    </dataValidation>
    <dataValidation type="decimal" allowBlank="1" showInputMessage="1" showErrorMessage="1" errorTitle="Invalid Variance Threshold" error="Enter a decimal between 0 and 1 (e.g., 0.05 = 5%)" sqref="B4" xr:uid="{FBA7C4CE-85EB-4867-A4FE-5F503123E0E7}">
      <formula1>0</formula1>
      <formula2>1</formula2>
    </dataValidation>
    <dataValidation type="decimal" allowBlank="1" showInputMessage="1" showErrorMessage="1" errorTitle="Invalid Outlier Threshold" error="Enter percentage points (e.g., 10 = 10%)" sqref="B5" xr:uid="{BE6C6C45-B967-4BBE-AE44-C67DAA8091B5}">
      <formula1>0</formula1>
      <formula2>100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20420B-A27F-4540-B0F9-80EE7758B095}">
            <x14:dataBar minLength="0" maxLength="100" negativeBarColorSameAsPositive="1" axisPosition="none">
              <x14:cfvo type="min"/>
              <x14:cfvo type="max"/>
            </x14:dataBar>
          </x14:cfRule>
          <xm:sqref>H3:H26</xm:sqref>
        </x14:conditionalFormatting>
        <x14:conditionalFormatting xmlns:xm="http://schemas.microsoft.com/office/excel/2006/main">
          <x14:cfRule type="dataBar" id="{70EEBC3A-C744-43A9-8479-8FC9825F13E4}">
            <x14:dataBar minLength="0" maxLength="100" negativeBarColorSameAsPositive="1" axisPosition="none">
              <x14:cfvo type="min"/>
              <x14:cfvo type="max"/>
            </x14:dataBar>
          </x14:cfRule>
          <xm:sqref>O3:O26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0A92-0F9D-4A72-A41F-1AE414D5C7EB}">
  <sheetPr>
    <tabColor rgb="FFED7D31"/>
  </sheetPr>
  <dimension ref="A1:G40"/>
  <sheetViews>
    <sheetView topLeftCell="C1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6.44140625" customWidth="1"/>
    <col min="2" max="2" width="59.21875" customWidth="1"/>
    <col min="3" max="5" width="19.44140625" customWidth="1"/>
    <col min="6" max="6" width="16.6640625" customWidth="1"/>
    <col min="7" max="7" width="19.44140625" customWidth="1"/>
  </cols>
  <sheetData>
    <row r="1" spans="1:7" ht="25.95" customHeight="1" x14ac:dyDescent="0.35">
      <c r="A1" s="153" t="s">
        <v>118</v>
      </c>
      <c r="B1" s="59"/>
      <c r="C1" s="59"/>
      <c r="D1" s="59"/>
      <c r="E1" s="59"/>
      <c r="F1" s="59"/>
      <c r="G1" s="59"/>
    </row>
    <row r="2" spans="1:7" x14ac:dyDescent="0.3">
      <c r="A2" s="60" t="str">
        <f>"Reporting Month: "&amp;TEXT(Processed_Model!B2,"mmmm yyyy")&amp;"  |  Prior: "&amp;TEXT(Processed_Model!B3,"mmmm yyyy")</f>
        <v>Reporting Month: September 2025  |  Prior: August 2025</v>
      </c>
      <c r="B2" s="59"/>
      <c r="C2" s="59"/>
      <c r="D2" s="59"/>
      <c r="E2" s="59"/>
      <c r="F2" s="59"/>
      <c r="G2" s="59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123" t="s">
        <v>119</v>
      </c>
      <c r="B4" s="59"/>
      <c r="C4" s="59"/>
      <c r="D4" s="59"/>
      <c r="E4" s="59"/>
      <c r="F4" s="59"/>
      <c r="G4" s="59"/>
    </row>
    <row r="5" spans="1:7" x14ac:dyDescent="0.3">
      <c r="A5" s="24" t="s">
        <v>120</v>
      </c>
      <c r="B5" s="24" t="s">
        <v>121</v>
      </c>
      <c r="C5" s="24" t="s">
        <v>122</v>
      </c>
      <c r="D5" s="24" t="s">
        <v>123</v>
      </c>
      <c r="E5" s="24" t="s">
        <v>124</v>
      </c>
      <c r="F5" s="24" t="s">
        <v>125</v>
      </c>
      <c r="G5" s="24" t="s">
        <v>126</v>
      </c>
    </row>
    <row r="6" spans="1:7" x14ac:dyDescent="0.3">
      <c r="A6" s="7">
        <v>1</v>
      </c>
      <c r="B6" s="7" t="s">
        <v>127</v>
      </c>
      <c r="C6" s="39">
        <f>SUMIFS(tblAUM[AUM_CAD_Billions],tblAUM[Date],Processed_Model!$B$2)</f>
        <v>428.88700000000006</v>
      </c>
      <c r="D6" s="39">
        <f>SUMIFS(tblInvestments[Market_Value_CAD_Billions],tblInvestments[Date],Processed_Model!$B$2)</f>
        <v>472.846</v>
      </c>
      <c r="E6" s="39">
        <f t="shared" ref="E6:E14" si="0">C6-D6</f>
        <v>-43.958999999999946</v>
      </c>
      <c r="F6" s="39">
        <v>0.5</v>
      </c>
      <c r="G6" s="7" t="str">
        <f>IF(ABS(E6)&lt;=F6,"PASS","FAIL")</f>
        <v>FAIL</v>
      </c>
    </row>
    <row r="7" spans="1:7" x14ac:dyDescent="0.3">
      <c r="A7" s="7">
        <v>2</v>
      </c>
      <c r="B7" s="7" t="s">
        <v>128</v>
      </c>
      <c r="C7" s="39">
        <f>SUMIFS(tblAUM[AUM_CAD_Billions],tblAUM[Date],Processed_Model!$B$3)</f>
        <v>461.80500000000001</v>
      </c>
      <c r="D7" s="39">
        <f>SUMIFS(tblInvestments[Market_Value_CAD_Billions],tblInvestments[Date],Processed_Model!$B$3)</f>
        <v>423.49900000000002</v>
      </c>
      <c r="E7" s="39">
        <f t="shared" si="0"/>
        <v>38.305999999999983</v>
      </c>
      <c r="F7" s="39">
        <v>0.5</v>
      </c>
      <c r="G7" s="7" t="str">
        <f>IF(ABS(E7)&lt;=F7,"PASS","FAIL")</f>
        <v>FAIL</v>
      </c>
    </row>
    <row r="8" spans="1:7" x14ac:dyDescent="0.3">
      <c r="A8" s="7">
        <v>3</v>
      </c>
      <c r="B8" s="7" t="s">
        <v>329</v>
      </c>
      <c r="C8" s="39">
        <f>SUMIFS(tblGL[Amount_CAD_Millions],tblGL[Date],Processed_Model!$B$2)</f>
        <v>64.228000000000023</v>
      </c>
      <c r="D8" s="39">
        <f>0</f>
        <v>0</v>
      </c>
      <c r="E8" s="39">
        <f t="shared" si="0"/>
        <v>64.228000000000023</v>
      </c>
      <c r="F8" s="39" t="s">
        <v>243</v>
      </c>
      <c r="G8" s="7" t="str">
        <f>IF(C8&gt;D8,"PASS","FAIL")</f>
        <v>PASS</v>
      </c>
    </row>
    <row r="9" spans="1:7" x14ac:dyDescent="0.3">
      <c r="A9" s="7">
        <v>4</v>
      </c>
      <c r="B9" s="7" t="s">
        <v>129</v>
      </c>
      <c r="C9" s="39">
        <f>SUMIFS(tblAUM[AUM_CAD_Billions],tblAUM[Date],Processed_Model!$B$2,tblAUM[Segment],"Asset Management")</f>
        <v>371.54599999999999</v>
      </c>
      <c r="D9" s="39">
        <f>SUMIFS(tblInvestments[Market_Value_CAD_Billions],tblInvestments[Date],Processed_Model!$B$2,tblInvestments[Segment],"Asset Management")</f>
        <v>404.00099999999998</v>
      </c>
      <c r="E9" s="39">
        <f t="shared" si="0"/>
        <v>-32.454999999999984</v>
      </c>
      <c r="F9" s="39">
        <v>0.5</v>
      </c>
      <c r="G9" s="7" t="str">
        <f t="shared" ref="G9:G14" si="1">IF(ABS(E9)&lt;=F9,"PASS","FAIL")</f>
        <v>FAIL</v>
      </c>
    </row>
    <row r="10" spans="1:7" x14ac:dyDescent="0.3">
      <c r="A10" s="7">
        <v>5</v>
      </c>
      <c r="B10" s="7" t="s">
        <v>130</v>
      </c>
      <c r="C10" s="39">
        <f>SUMIFS(tblAUM[AUM_CAD_Billions],tblAUM[Date],Processed_Model!$B$2,tblAUM[Segment],"Wealth")</f>
        <v>57.341000000000001</v>
      </c>
      <c r="D10" s="39">
        <f>SUMIFS(tblInvestments[Market_Value_CAD_Billions],tblInvestments[Date],Processed_Model!$B$2,tblInvestments[Segment],"Wealth")</f>
        <v>68.844999999999999</v>
      </c>
      <c r="E10" s="39">
        <f t="shared" si="0"/>
        <v>-11.503999999999998</v>
      </c>
      <c r="F10" s="39">
        <v>0.5</v>
      </c>
      <c r="G10" s="7" t="str">
        <f t="shared" si="1"/>
        <v>FAIL</v>
      </c>
    </row>
    <row r="11" spans="1:7" x14ac:dyDescent="0.3">
      <c r="A11" s="7">
        <v>6</v>
      </c>
      <c r="B11" s="7" t="s">
        <v>131</v>
      </c>
      <c r="C11" s="39">
        <f>SUMIFS(tblAUM[AUM_CAD_Billions],tblAUM[Date],Processed_Model!$B$2,tblAUM[Segment],"Insurance")</f>
        <v>0</v>
      </c>
      <c r="D11" s="39">
        <f>SUMIFS(tblInvestments[Market_Value_CAD_Billions],tblInvestments[Date],Processed_Model!$B$2,tblInvestments[Segment],"Insurance")</f>
        <v>0</v>
      </c>
      <c r="E11" s="39">
        <f t="shared" si="0"/>
        <v>0</v>
      </c>
      <c r="F11" s="39">
        <v>0.5</v>
      </c>
      <c r="G11" s="7" t="str">
        <f t="shared" si="1"/>
        <v>PASS</v>
      </c>
    </row>
    <row r="12" spans="1:7" x14ac:dyDescent="0.3">
      <c r="A12" s="40">
        <v>7</v>
      </c>
      <c r="B12" s="40" t="s">
        <v>337</v>
      </c>
      <c r="C12" s="21">
        <f>SUMIFS(tblGL[Amount_CAD_Millions],tblGL[Date],Processed_Model!$B$2,tblGL[Type],"Revenue")</f>
        <v>155.42899999999997</v>
      </c>
      <c r="D12" s="21">
        <f>SUM(Processed_Model!W3:W5)</f>
        <v>155.429</v>
      </c>
      <c r="E12" s="21">
        <f t="shared" si="0"/>
        <v>0</v>
      </c>
      <c r="F12" s="21">
        <v>1E-3</v>
      </c>
      <c r="G12" s="40" t="str">
        <f t="shared" si="1"/>
        <v>PASS</v>
      </c>
    </row>
    <row r="13" spans="1:7" x14ac:dyDescent="0.3">
      <c r="A13" s="40">
        <v>8</v>
      </c>
      <c r="B13" s="40" t="s">
        <v>338</v>
      </c>
      <c r="C13" s="21">
        <f>-SUMIFS(tblGL[Amount_CAD_Millions],tblGL[Date],Processed_Model!$B$2,tblGL[Type],"Expense")</f>
        <v>91.200999999999979</v>
      </c>
      <c r="D13" s="21">
        <f>SUM(Processed_Model!X3:X5)</f>
        <v>91.201000000000008</v>
      </c>
      <c r="E13" s="21">
        <f t="shared" si="0"/>
        <v>0</v>
      </c>
      <c r="F13" s="21">
        <v>1E-3</v>
      </c>
      <c r="G13" s="40" t="str">
        <f t="shared" si="1"/>
        <v>PASS</v>
      </c>
    </row>
    <row r="14" spans="1:7" x14ac:dyDescent="0.3">
      <c r="A14" s="40">
        <v>9</v>
      </c>
      <c r="B14" s="40" t="s">
        <v>339</v>
      </c>
      <c r="C14" s="21">
        <f>SUMIFS(tblGL[Amount_CAD_Millions],tblGL[Date],Processed_Model!$B$2,tblGL[Type],"Revenue")+SUMIFS(tblGL[Amount_CAD_Millions],tblGL[Date],Processed_Model!$B$2,tblGL[Type],"Expense")</f>
        <v>64.227999999999994</v>
      </c>
      <c r="D14" s="21">
        <f>SUM(Processed_Model!Y3:Y5)</f>
        <v>64.227999999999994</v>
      </c>
      <c r="E14" s="21">
        <f t="shared" si="0"/>
        <v>0</v>
      </c>
      <c r="F14" s="21">
        <v>1E-3</v>
      </c>
      <c r="G14" s="40" t="str">
        <f t="shared" si="1"/>
        <v>PASS</v>
      </c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123" t="s">
        <v>132</v>
      </c>
      <c r="B16" s="59"/>
      <c r="C16" s="59"/>
      <c r="D16" s="59"/>
      <c r="E16" s="59"/>
      <c r="F16" s="59"/>
      <c r="G16" s="59"/>
    </row>
    <row r="17" spans="1:7" x14ac:dyDescent="0.3">
      <c r="A17" s="6" t="s">
        <v>120</v>
      </c>
      <c r="B17" s="6" t="s">
        <v>133</v>
      </c>
      <c r="C17" s="6" t="s">
        <v>134</v>
      </c>
      <c r="D17" s="6" t="s">
        <v>135</v>
      </c>
      <c r="E17" s="6" t="s">
        <v>136</v>
      </c>
      <c r="F17" s="6" t="s">
        <v>137</v>
      </c>
      <c r="G17" s="6" t="s">
        <v>126</v>
      </c>
    </row>
    <row r="18" spans="1:7" x14ac:dyDescent="0.3">
      <c r="A18" s="2">
        <v>1</v>
      </c>
      <c r="B18" s="2" t="s">
        <v>107</v>
      </c>
      <c r="C18" s="26">
        <f>SUMIFS(tblAUM[AUM_CAD_Billions],tblAUM[Date],Processed_Model!$B$2)</f>
        <v>428.88700000000006</v>
      </c>
      <c r="D18" s="26">
        <f>SUMIFS(tblAUM[AUM_CAD_Billions],tblAUM[Date],Processed_Model!$B$3)</f>
        <v>461.80500000000001</v>
      </c>
      <c r="E18" s="28">
        <f t="shared" ref="E18:E23" si="2">IFERROR((C18-D18)/D18,"")</f>
        <v>-7.1281168458548413E-2</v>
      </c>
      <c r="F18" s="28">
        <f>Processed_Model!$B$4</f>
        <v>0.05</v>
      </c>
      <c r="G18" s="2" t="str">
        <f t="shared" ref="G18:G23" si="3">IF(OR(D18=0,C18=0),"INVESTIGATE",IF(ABS(E18)&gt;F18,"FLAG","OK"))</f>
        <v>FLAG</v>
      </c>
    </row>
    <row r="19" spans="1:7" x14ac:dyDescent="0.3">
      <c r="A19" s="2">
        <v>2</v>
      </c>
      <c r="B19" s="2" t="s">
        <v>138</v>
      </c>
      <c r="C19" s="26">
        <f>SUMIFS(tblAUM[AUM_CAD_Billions],tblAUM[Date],Processed_Model!$B$2,tblAUM[Segment],"Asset Management")</f>
        <v>371.54599999999999</v>
      </c>
      <c r="D19" s="26">
        <f>SUMIFS(tblAUM[AUM_CAD_Billions],tblAUM[Date],Processed_Model!$B$3,tblAUM[Segment],"Asset Management")</f>
        <v>370.09100000000001</v>
      </c>
      <c r="E19" s="28">
        <f t="shared" si="2"/>
        <v>3.9314655044299486E-3</v>
      </c>
      <c r="F19" s="28">
        <f>Processed_Model!$B$4</f>
        <v>0.05</v>
      </c>
      <c r="G19" s="2" t="str">
        <f t="shared" si="3"/>
        <v>OK</v>
      </c>
    </row>
    <row r="20" spans="1:7" x14ac:dyDescent="0.3">
      <c r="A20" s="2">
        <v>3</v>
      </c>
      <c r="B20" s="2" t="s">
        <v>139</v>
      </c>
      <c r="C20" s="26">
        <f>SUMIFS(tblAUM[AUM_CAD_Billions],tblAUM[Date],Processed_Model!$B$2,tblAUM[Segment],"Wealth")</f>
        <v>57.341000000000001</v>
      </c>
      <c r="D20" s="26">
        <f>SUMIFS(tblAUM[AUM_CAD_Billions],tblAUM[Date],Processed_Model!$B$3,tblAUM[Segment],"Wealth")</f>
        <v>61.037999999999997</v>
      </c>
      <c r="E20" s="28">
        <f t="shared" si="2"/>
        <v>-6.0568825977260002E-2</v>
      </c>
      <c r="F20" s="28">
        <f>Processed_Model!$B$4</f>
        <v>0.05</v>
      </c>
      <c r="G20" s="2" t="str">
        <f t="shared" si="3"/>
        <v>FLAG</v>
      </c>
    </row>
    <row r="21" spans="1:7" x14ac:dyDescent="0.3">
      <c r="A21" s="2">
        <v>4</v>
      </c>
      <c r="B21" s="2" t="s">
        <v>140</v>
      </c>
      <c r="C21" s="26">
        <f>SUMIFS(tblAUM[AUM_CAD_Billions],tblAUM[Date],Processed_Model!$B$2,tblAUM[Segment],"Insurance")</f>
        <v>0</v>
      </c>
      <c r="D21" s="26">
        <f>SUMIFS(tblAUM[AUM_CAD_Billions],tblAUM[Date],Processed_Model!$B$3,tblAUM[Segment],"Insurance")</f>
        <v>30.676000000000002</v>
      </c>
      <c r="E21" s="28">
        <f t="shared" si="2"/>
        <v>-1</v>
      </c>
      <c r="F21" s="28">
        <f>Processed_Model!$B$4</f>
        <v>0.05</v>
      </c>
      <c r="G21" s="2" t="str">
        <f t="shared" si="3"/>
        <v>INVESTIGATE</v>
      </c>
    </row>
    <row r="22" spans="1:7" x14ac:dyDescent="0.3">
      <c r="A22" s="2">
        <v>5</v>
      </c>
      <c r="B22" s="2" t="s">
        <v>141</v>
      </c>
      <c r="C22" s="26">
        <f>SUMIFS(tblGL[Amount_CAD_Millions],tblGL[Date],Processed_Model!$B$2,tblGL[Type],"Revenue")</f>
        <v>155.42899999999997</v>
      </c>
      <c r="D22" s="26">
        <f>SUMIFS(tblGL[Amount_CAD_Millions],tblGL[Date],Processed_Model!$B$3,tblGL[Type],"Revenue")</f>
        <v>149.16800000000001</v>
      </c>
      <c r="E22" s="28">
        <f t="shared" si="2"/>
        <v>4.1972809181593684E-2</v>
      </c>
      <c r="F22" s="28">
        <f>Processed_Model!$B$4</f>
        <v>0.05</v>
      </c>
      <c r="G22" s="2" t="str">
        <f t="shared" si="3"/>
        <v>OK</v>
      </c>
    </row>
    <row r="23" spans="1:7" x14ac:dyDescent="0.3">
      <c r="A23" s="2">
        <v>6</v>
      </c>
      <c r="B23" s="2" t="s">
        <v>142</v>
      </c>
      <c r="C23" s="26">
        <f>-SUMIFS(tblGL[Amount_CAD_Millions],tblGL[Date],Processed_Model!$B$2,tblGL[Type],"Expense")</f>
        <v>91.200999999999979</v>
      </c>
      <c r="D23" s="26">
        <f>-SUMIFS(tblGL[Amount_CAD_Millions],tblGL[Date],Processed_Model!$B$3,tblGL[Type],"Expense")</f>
        <v>90.282999999999987</v>
      </c>
      <c r="E23" s="28">
        <f t="shared" si="2"/>
        <v>1.0168027203349382E-2</v>
      </c>
      <c r="F23" s="28">
        <f>Processed_Model!$B$4</f>
        <v>0.05</v>
      </c>
      <c r="G23" s="2" t="str">
        <f t="shared" si="3"/>
        <v>OK</v>
      </c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123" t="s">
        <v>143</v>
      </c>
      <c r="B25" s="59"/>
      <c r="C25" s="59"/>
      <c r="D25" s="59"/>
      <c r="E25" s="59"/>
      <c r="F25" s="59"/>
      <c r="G25" s="59"/>
    </row>
    <row r="26" spans="1:7" x14ac:dyDescent="0.3">
      <c r="A26" s="6" t="s">
        <v>120</v>
      </c>
      <c r="B26" s="6" t="s">
        <v>144</v>
      </c>
      <c r="C26" s="6" t="s">
        <v>145</v>
      </c>
      <c r="D26" s="6" t="s">
        <v>146</v>
      </c>
      <c r="E26" s="6" t="s">
        <v>147</v>
      </c>
      <c r="F26" s="6" t="s">
        <v>137</v>
      </c>
      <c r="G26" s="6" t="s">
        <v>126</v>
      </c>
    </row>
    <row r="27" spans="1:7" x14ac:dyDescent="0.3">
      <c r="A27" s="2">
        <v>1</v>
      </c>
      <c r="B27" s="2" t="s">
        <v>148</v>
      </c>
      <c r="C27" s="2" t="s">
        <v>149</v>
      </c>
      <c r="D27" s="2" t="s">
        <v>150</v>
      </c>
      <c r="E27" s="41">
        <f>COUNTIFS(tblAUM[Date],Processed_Model!$B$2)</f>
        <v>6</v>
      </c>
      <c r="F27" s="41">
        <v>9</v>
      </c>
      <c r="G27" s="2" t="str">
        <f>IF(E27&lt;F27,"FAIL — MISSING DATA",IF(E27=F27,"PASS","INVESTIGATE"))</f>
        <v>FAIL — MISSING DATA</v>
      </c>
    </row>
    <row r="28" spans="1:7" x14ac:dyDescent="0.3">
      <c r="A28" s="2">
        <v>2</v>
      </c>
      <c r="B28" s="2" t="s">
        <v>151</v>
      </c>
      <c r="C28" s="2" t="s">
        <v>152</v>
      </c>
      <c r="D28" s="2" t="s">
        <v>153</v>
      </c>
      <c r="E28" s="41">
        <f>COUNTIFS(tblGL[Date],Processed_Model!$B$2)</f>
        <v>24</v>
      </c>
      <c r="F28" s="41">
        <v>24</v>
      </c>
      <c r="G28" s="2" t="str">
        <f>IF(E28&lt;F28,"FAIL — MISSING DATA",IF(E28=F28,"PASS","INVESTIGATE"))</f>
        <v>PASS</v>
      </c>
    </row>
    <row r="29" spans="1:7" x14ac:dyDescent="0.3">
      <c r="A29" s="2">
        <v>3</v>
      </c>
      <c r="B29" s="2" t="s">
        <v>154</v>
      </c>
      <c r="C29" s="2" t="s">
        <v>155</v>
      </c>
      <c r="D29" s="2" t="s">
        <v>156</v>
      </c>
      <c r="E29" s="41" cm="1">
        <f t="array" ref="E29">SUMPRODUCT(((COUNTIFS(tblInvestments[Fund_Name],tblInvestments[Fund_Name],tblInvestments[Date],tblInvestments[Date])-1)/COUNTIFS(tblInvestments[Fund_Name],tblInvestments[Fund_Name],tblInvestments[Date],tblInvestments[Date]))*(COUNTIFS(tblInvestments[Fund_Name],tblInvestments[Fund_Name],tblInvestments[Date],tblInvestments[Date])&gt;1))</f>
        <v>2</v>
      </c>
      <c r="F29" s="41">
        <v>0</v>
      </c>
      <c r="G29" s="2" t="str">
        <f>IF(E29&lt;=F29,"PASS","FAIL — "&amp;E29&amp;" issue(s)")</f>
        <v>FAIL — 2 issue(s)</v>
      </c>
    </row>
    <row r="30" spans="1:7" x14ac:dyDescent="0.3">
      <c r="A30" s="2">
        <v>4</v>
      </c>
      <c r="B30" s="2" t="s">
        <v>157</v>
      </c>
      <c r="C30" s="2" t="s">
        <v>155</v>
      </c>
      <c r="D30" s="2" t="s">
        <v>158</v>
      </c>
      <c r="E30" s="41" cm="1">
        <f t="array" ref="E30">SUMPRODUCT((ABS(tblInvestments[Return_Pct])&gt;Processed_Model!$B$5)*(tblInvestments[Date]=Processed_Model!$B$2)*1)</f>
        <v>1</v>
      </c>
      <c r="F30" s="41">
        <v>0</v>
      </c>
      <c r="G30" s="2" t="str">
        <f>IF(E30&lt;=F30,"PASS","FAIL — "&amp;E30&amp;" issue(s)")</f>
        <v>FAIL — 1 issue(s)</v>
      </c>
    </row>
    <row r="31" spans="1:7" x14ac:dyDescent="0.3">
      <c r="A31" s="2">
        <v>5</v>
      </c>
      <c r="B31" s="2" t="s">
        <v>159</v>
      </c>
      <c r="C31" s="2" t="s">
        <v>149</v>
      </c>
      <c r="D31" s="2" t="s">
        <v>160</v>
      </c>
      <c r="E31" s="41">
        <f>COUNTIF(tblAUM[AUM_CAD_Billions],"&lt;0")</f>
        <v>0</v>
      </c>
      <c r="F31" s="41">
        <v>0</v>
      </c>
      <c r="G31" s="2" t="str">
        <f>IF(E31&lt;=F31,"PASS","FAIL — "&amp;E31&amp;" issue(s)")</f>
        <v>PASS</v>
      </c>
    </row>
    <row r="32" spans="1:7" x14ac:dyDescent="0.3">
      <c r="A32" s="2">
        <v>6</v>
      </c>
      <c r="B32" s="2" t="s">
        <v>161</v>
      </c>
      <c r="C32" s="2" t="s">
        <v>149</v>
      </c>
      <c r="D32" s="2" t="s">
        <v>162</v>
      </c>
      <c r="E32" s="41">
        <f>COUNTBLANK(tblAUM[AUM_CAD_Billions])</f>
        <v>0</v>
      </c>
      <c r="F32" s="41">
        <v>0</v>
      </c>
      <c r="G32" s="2" t="str">
        <f>IF(E32&lt;=F32,"PASS","FAIL — "&amp;E32&amp;" issue(s)")</f>
        <v>PASS</v>
      </c>
    </row>
    <row r="33" spans="1:7" x14ac:dyDescent="0.3">
      <c r="A33" s="2">
        <v>7</v>
      </c>
      <c r="B33" s="2" t="s">
        <v>163</v>
      </c>
      <c r="C33" s="2" t="s">
        <v>149</v>
      </c>
      <c r="D33" s="2" t="s">
        <v>164</v>
      </c>
      <c r="E33" s="41" cm="1">
        <f t="array" ref="E33">SUMPRODUCT(1/COUNTIF(tblAUM[Segment],tblAUM[Segment]))</f>
        <v>2.9999999999999964</v>
      </c>
      <c r="F33" s="41">
        <v>3</v>
      </c>
      <c r="G33" s="2" t="str">
        <f>IF(E33=F33,"PASS","FAIL")</f>
        <v>PASS</v>
      </c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154" t="s">
        <v>165</v>
      </c>
      <c r="B35" s="59"/>
      <c r="C35" s="59"/>
      <c r="D35" s="59"/>
      <c r="E35" s="59"/>
      <c r="F35" s="59"/>
      <c r="G35" s="59"/>
    </row>
    <row r="36" spans="1:7" x14ac:dyDescent="0.3">
      <c r="A36" s="6" t="s">
        <v>166</v>
      </c>
      <c r="B36" s="6" t="s">
        <v>167</v>
      </c>
      <c r="C36" s="6" t="s">
        <v>168</v>
      </c>
      <c r="D36" s="6" t="s">
        <v>169</v>
      </c>
      <c r="E36" s="6" t="s">
        <v>170</v>
      </c>
      <c r="F36" s="6" t="s">
        <v>171</v>
      </c>
      <c r="G36" s="6" t="s">
        <v>126</v>
      </c>
    </row>
    <row r="37" spans="1:7" ht="31.95" customHeight="1" x14ac:dyDescent="0.3">
      <c r="A37" s="2" t="s">
        <v>172</v>
      </c>
      <c r="B37" s="2" t="s">
        <v>173</v>
      </c>
      <c r="C37" s="5" t="str">
        <f>IF(COUNTIFS(tblAUM[Date],Processed_Model!$B$2,tblAUM[Segment],"Insurance")=0,"Insurance segment AUM missing for current month","")</f>
        <v>Insurance segment AUM missing for current month</v>
      </c>
      <c r="D37" s="5" t="s">
        <v>174</v>
      </c>
      <c r="E37" s="5" t="s">
        <v>175</v>
      </c>
      <c r="F37" s="2" t="s">
        <v>176</v>
      </c>
      <c r="G37" s="2" t="s">
        <v>177</v>
      </c>
    </row>
    <row r="38" spans="1:7" ht="31.95" customHeight="1" x14ac:dyDescent="0.3">
      <c r="A38" s="2" t="s">
        <v>172</v>
      </c>
      <c r="B38" s="2" t="s">
        <v>178</v>
      </c>
      <c r="C38" s="5" t="str">
        <f>IF(ABS((SUMIFS(tblAUM[AUM_CAD_Billions],tblAUM[Date],Processed_Model!$B$2,tblAUM[Segment],"Wealth",tblAUM[Asset_Class],"Equities")-SUMIFS(tblAUM[AUM_CAD_Billions],tblAUM[Date],Processed_Model!$B$3,tblAUM[Segment],"Wealth",tblAUM[Asset_Class],"Equities"))/SUMIFS(tblAUM[AUM_CAD_Billions],tblAUM[Date],Processed_Model!$B$3,tblAUM[Segment],"Wealth",tblAUM[Asset_Class],"Equities"))&gt;Processed_Model!$B$4,"Wealth/Equities AUM variance exceeds threshold","")</f>
        <v>Wealth/Equities AUM variance exceeds threshold</v>
      </c>
      <c r="D38" s="5" t="s">
        <v>179</v>
      </c>
      <c r="E38" s="5" t="s">
        <v>180</v>
      </c>
      <c r="F38" s="2" t="s">
        <v>181</v>
      </c>
      <c r="G38" s="2" t="s">
        <v>177</v>
      </c>
    </row>
    <row r="39" spans="1:7" ht="31.95" customHeight="1" x14ac:dyDescent="0.3">
      <c r="A39" s="2" t="s">
        <v>182</v>
      </c>
      <c r="B39" s="2" t="s">
        <v>183</v>
      </c>
      <c r="C39" s="5" t="str" cm="1">
        <f t="array" ref="C39">IF(SUMPRODUCT((COUNTIFS(tblInvestments[Fund_Name],tblInvestments[Fund_Name],tblInvestments[Date],tblInvestments[Date])&gt;1)*1)&gt;0,"Duplicate fund-period entries detected in Investments","")</f>
        <v>Duplicate fund-period entries detected in Investments</v>
      </c>
      <c r="D39" s="5" t="s">
        <v>184</v>
      </c>
      <c r="E39" s="5" t="s">
        <v>185</v>
      </c>
      <c r="F39" s="2" t="s">
        <v>176</v>
      </c>
      <c r="G39" s="2" t="s">
        <v>177</v>
      </c>
    </row>
    <row r="40" spans="1:7" ht="31.95" customHeight="1" x14ac:dyDescent="0.3">
      <c r="A40" s="2" t="s">
        <v>182</v>
      </c>
      <c r="B40" s="2" t="s">
        <v>186</v>
      </c>
      <c r="C40" s="5" t="str" cm="1">
        <f t="array" ref="C40">IF(SUMPRODUCT((ABS(tblInvestments[Return_Pct])&gt;Processed_Model!$B$5)*(tblInvestments[Date]=Processed_Model!$B$2)*1)&gt;0,"Outlier returns detected in current month Investments","")</f>
        <v>Outlier returns detected in current month Investments</v>
      </c>
      <c r="D40" s="5" t="s">
        <v>187</v>
      </c>
      <c r="E40" s="5" t="s">
        <v>188</v>
      </c>
      <c r="F40" s="2" t="s">
        <v>189</v>
      </c>
      <c r="G40" s="2" t="s">
        <v>177</v>
      </c>
    </row>
  </sheetData>
  <mergeCells count="6">
    <mergeCell ref="A35:G35"/>
    <mergeCell ref="A1:G1"/>
    <mergeCell ref="A2:G2"/>
    <mergeCell ref="A4:G4"/>
    <mergeCell ref="A16:G16"/>
    <mergeCell ref="A25:G25"/>
  </mergeCells>
  <conditionalFormatting sqref="A37:A40">
    <cfRule type="cellIs" dxfId="24" priority="16" operator="equal">
      <formula>"HIGH"</formula>
    </cfRule>
    <cfRule type="cellIs" dxfId="23" priority="17" operator="equal">
      <formula>"MED"</formula>
    </cfRule>
  </conditionalFormatting>
  <conditionalFormatting sqref="G6:G14">
    <cfRule type="cellIs" dxfId="22" priority="1" operator="equal">
      <formula>"PASS"</formula>
    </cfRule>
    <cfRule type="cellIs" dxfId="21" priority="2" operator="equal">
      <formula>"OK"</formula>
    </cfRule>
    <cfRule type="containsText" dxfId="20" priority="3" operator="containsText" text="FAIL">
      <formula>NOT(ISERROR(SEARCH("FAIL",G6)))</formula>
    </cfRule>
    <cfRule type="cellIs" dxfId="19" priority="4" operator="equal">
      <formula>"FLAG"</formula>
    </cfRule>
    <cfRule type="cellIs" dxfId="18" priority="5" operator="equal">
      <formula>"INVESTIGATE"</formula>
    </cfRule>
    <cfRule type="cellIs" dxfId="17" priority="18" operator="equal">
      <formula>"PASS"</formula>
    </cfRule>
    <cfRule type="containsText" dxfId="16" priority="19" operator="containsText" text="FAIL">
      <formula>NOT(ISERROR(SEARCH("FAIL",G6)))</formula>
    </cfRule>
  </conditionalFormatting>
  <conditionalFormatting sqref="G17:G23">
    <cfRule type="cellIs" dxfId="15" priority="6" operator="equal">
      <formula>"PASS"</formula>
    </cfRule>
    <cfRule type="cellIs" dxfId="14" priority="7" operator="equal">
      <formula>"OK"</formula>
    </cfRule>
    <cfRule type="containsText" dxfId="13" priority="8" operator="containsText" text="FAIL">
      <formula>NOT(ISERROR(SEARCH("FAIL",G17)))</formula>
    </cfRule>
    <cfRule type="cellIs" dxfId="12" priority="9" operator="equal">
      <formula>"FLAG"</formula>
    </cfRule>
    <cfRule type="cellIs" dxfId="11" priority="10" operator="equal">
      <formula>"INVESTIGATE"</formula>
    </cfRule>
  </conditionalFormatting>
  <conditionalFormatting sqref="G27:G33">
    <cfRule type="cellIs" dxfId="10" priority="11" operator="equal">
      <formula>"PASS"</formula>
    </cfRule>
    <cfRule type="cellIs" dxfId="9" priority="12" operator="equal">
      <formula>"OK"</formula>
    </cfRule>
    <cfRule type="containsText" dxfId="8" priority="13" operator="containsText" text="FAIL">
      <formula>NOT(ISERROR(SEARCH("FAIL",G27)))</formula>
    </cfRule>
    <cfRule type="cellIs" dxfId="7" priority="14" operator="equal">
      <formula>"FLAG"</formula>
    </cfRule>
    <cfRule type="cellIs" dxfId="6" priority="15" operator="equal">
      <formula>"INVESTIGATE"</formula>
    </cfRule>
  </conditionalFormatting>
  <pageMargins left="0.7" right="0.7" top="0.75" bottom="0.75" header="0.3" footer="0.3"/>
  <pageSetup paperSize="0" scale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5038-940B-4A6D-AFB1-FD7B9AC7F6AF}">
  <sheetPr>
    <tabColor rgb="FFFFC000"/>
  </sheetPr>
  <dimension ref="A1:G29"/>
  <sheetViews>
    <sheetView tabSelected="1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26.88671875" customWidth="1"/>
    <col min="2" max="2" width="20.33203125" customWidth="1"/>
    <col min="3" max="4" width="19.44140625" customWidth="1"/>
    <col min="5" max="6" width="17.5546875" customWidth="1"/>
    <col min="7" max="7" width="20.33203125" customWidth="1"/>
  </cols>
  <sheetData>
    <row r="1" spans="1:7" ht="25.95" customHeight="1" x14ac:dyDescent="0.35">
      <c r="A1" s="58" t="s">
        <v>190</v>
      </c>
      <c r="B1" s="59"/>
      <c r="C1" s="59"/>
      <c r="D1" s="59"/>
      <c r="E1" s="59"/>
      <c r="F1" s="59"/>
      <c r="G1" s="59"/>
    </row>
    <row r="2" spans="1:7" x14ac:dyDescent="0.3">
      <c r="A2" s="60" t="str">
        <f>"Current: "&amp;TEXT(Processed_Model!B2,"mmm-yyyy")&amp;"  |  Prior: "&amp;TEXT(Processed_Model!B3,"mmm-yyyy")&amp;"  |  Threshold: "&amp;TEXT(Processed_Model!B4,"0.0%")</f>
        <v>Current: Sep-2025  |  Prior: Aug-2025  |  Threshold: 5.0%</v>
      </c>
      <c r="B2" s="59"/>
      <c r="C2" s="59"/>
      <c r="D2" s="59"/>
      <c r="E2" s="59"/>
      <c r="F2" s="59"/>
      <c r="G2" s="59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4" t="s">
        <v>1</v>
      </c>
      <c r="B4" s="24" t="s">
        <v>114</v>
      </c>
      <c r="C4" s="24" t="s">
        <v>191</v>
      </c>
      <c r="D4" s="24" t="s">
        <v>192</v>
      </c>
      <c r="E4" s="24" t="s">
        <v>193</v>
      </c>
      <c r="F4" s="24" t="s">
        <v>194</v>
      </c>
      <c r="G4" s="24" t="s">
        <v>126</v>
      </c>
    </row>
    <row r="5" spans="1:7" x14ac:dyDescent="0.3">
      <c r="A5" s="7" t="s">
        <v>5</v>
      </c>
      <c r="B5" s="7" t="s">
        <v>6</v>
      </c>
      <c r="C5" s="39">
        <f>SUMIFS(tblAUM[AUM_CAD_Billions],tblAUM[Date],Processed_Model!$B$2,tblAUM[Segment],A5,tblAUM[Asset_Class],B5)</f>
        <v>237.262</v>
      </c>
      <c r="D5" s="39">
        <f>SUMIFS(tblAUM[AUM_CAD_Billions],tblAUM[Date],Processed_Model!$B$3,tblAUM[Segment],A5,tblAUM[Asset_Class],B5)</f>
        <v>235.65899999999999</v>
      </c>
      <c r="E5" s="39">
        <f t="shared" ref="E5:E17" si="0">C5-D5</f>
        <v>1.6030000000000086</v>
      </c>
      <c r="F5" s="42">
        <f t="shared" ref="F5:F17" si="1">IFERROR(E5/D5,"")</f>
        <v>6.8022014860455518E-3</v>
      </c>
      <c r="G5" s="7" t="str">
        <f>IF(OR(C5=0,D5=0),"INVESTIGATE",IF(ABS(F5)&gt;Processed_Model!$B$4,"FLAG","OK"))</f>
        <v>OK</v>
      </c>
    </row>
    <row r="6" spans="1:7" x14ac:dyDescent="0.3">
      <c r="A6" s="7" t="s">
        <v>5</v>
      </c>
      <c r="B6" s="7" t="s">
        <v>8</v>
      </c>
      <c r="C6" s="39">
        <f>SUMIFS(tblAUM[AUM_CAD_Billions],tblAUM[Date],Processed_Model!$B$2,tblAUM[Segment],A6,tblAUM[Asset_Class],B6)</f>
        <v>30.498000000000001</v>
      </c>
      <c r="D6" s="39">
        <f>SUMIFS(tblAUM[AUM_CAD_Billions],tblAUM[Date],Processed_Model!$B$3,tblAUM[Segment],A6,tblAUM[Asset_Class],B6)</f>
        <v>30.521000000000001</v>
      </c>
      <c r="E6" s="39">
        <f t="shared" si="0"/>
        <v>-2.2999999999999687E-2</v>
      </c>
      <c r="F6" s="42">
        <f t="shared" si="1"/>
        <v>-7.5357950263751797E-4</v>
      </c>
      <c r="G6" s="7" t="str">
        <f>IF(OR(C6=0,D6=0),"INVESTIGATE",IF(ABS(F6)&gt;Processed_Model!$B$4,"FLAG","OK"))</f>
        <v>OK</v>
      </c>
    </row>
    <row r="7" spans="1:7" x14ac:dyDescent="0.3">
      <c r="A7" s="7" t="s">
        <v>5</v>
      </c>
      <c r="B7" s="7" t="s">
        <v>9</v>
      </c>
      <c r="C7" s="39">
        <f>SUMIFS(tblAUM[AUM_CAD_Billions],tblAUM[Date],Processed_Model!$B$2,tblAUM[Segment],A7,tblAUM[Asset_Class],B7)</f>
        <v>103.786</v>
      </c>
      <c r="D7" s="39">
        <f>SUMIFS(tblAUM[AUM_CAD_Billions],tblAUM[Date],Processed_Model!$B$3,tblAUM[Segment],A7,tblAUM[Asset_Class],B7)</f>
        <v>103.911</v>
      </c>
      <c r="E7" s="39">
        <f t="shared" si="0"/>
        <v>-0.125</v>
      </c>
      <c r="F7" s="42">
        <f t="shared" si="1"/>
        <v>-1.202952526681487E-3</v>
      </c>
      <c r="G7" s="7" t="str">
        <f>IF(OR(C7=0,D7=0),"INVESTIGATE",IF(ABS(F7)&gt;Processed_Model!$B$4,"FLAG","OK"))</f>
        <v>OK</v>
      </c>
    </row>
    <row r="8" spans="1:7" x14ac:dyDescent="0.3">
      <c r="A8" s="61" t="s">
        <v>195</v>
      </c>
      <c r="B8" s="61"/>
      <c r="C8" s="43">
        <f>SUM(C5:C7)</f>
        <v>371.54599999999999</v>
      </c>
      <c r="D8" s="43">
        <f>SUM(D5:D7)</f>
        <v>370.09100000000001</v>
      </c>
      <c r="E8" s="43">
        <f t="shared" si="0"/>
        <v>1.4549999999999841</v>
      </c>
      <c r="F8" s="44">
        <f t="shared" si="1"/>
        <v>3.9314655044299486E-3</v>
      </c>
      <c r="G8" s="35" t="str">
        <f>IF(OR(C8=0,D8=0),"INVESTIGATE",IF(ABS(F8)&gt;Processed_Model!$B$4,"FLAG","OK"))</f>
        <v>OK</v>
      </c>
    </row>
    <row r="9" spans="1:7" x14ac:dyDescent="0.3">
      <c r="A9" s="7" t="s">
        <v>10</v>
      </c>
      <c r="B9" s="7" t="s">
        <v>6</v>
      </c>
      <c r="C9" s="39">
        <f>SUMIFS(tblAUM[AUM_CAD_Billions],tblAUM[Date],Processed_Model!$B$2,tblAUM[Segment],A9,tblAUM[Asset_Class],B9)</f>
        <v>19.684000000000001</v>
      </c>
      <c r="D9" s="39">
        <f>SUMIFS(tblAUM[AUM_CAD_Billions],tblAUM[Date],Processed_Model!$B$3,tblAUM[Segment],A9,tblAUM[Asset_Class],B9)</f>
        <v>19.675000000000001</v>
      </c>
      <c r="E9" s="39">
        <f t="shared" si="0"/>
        <v>9.0000000000003411E-3</v>
      </c>
      <c r="F9" s="42">
        <f t="shared" si="1"/>
        <v>4.5743329097841631E-4</v>
      </c>
      <c r="G9" s="7" t="str">
        <f>IF(OR(C9=0,D9=0),"INVESTIGATE",IF(ABS(F9)&gt;Processed_Model!$B$4,"FLAG","OK"))</f>
        <v>OK</v>
      </c>
    </row>
    <row r="10" spans="1:7" x14ac:dyDescent="0.3">
      <c r="A10" s="7" t="s">
        <v>10</v>
      </c>
      <c r="B10" s="7" t="s">
        <v>8</v>
      </c>
      <c r="C10" s="39">
        <f>SUMIFS(tblAUM[AUM_CAD_Billions],tblAUM[Date],Processed_Model!$B$2,tblAUM[Segment],A10,tblAUM[Asset_Class],B10)</f>
        <v>31.059000000000001</v>
      </c>
      <c r="D10" s="39">
        <f>SUMIFS(tblAUM[AUM_CAD_Billions],tblAUM[Date],Processed_Model!$B$3,tblAUM[Segment],A10,tblAUM[Asset_Class],B10)</f>
        <v>34.798000000000002</v>
      </c>
      <c r="E10" s="39">
        <f t="shared" si="0"/>
        <v>-3.7390000000000008</v>
      </c>
      <c r="F10" s="42">
        <f t="shared" si="1"/>
        <v>-0.10744870394850281</v>
      </c>
      <c r="G10" s="7" t="str">
        <f>IF(OR(C10=0,D10=0),"INVESTIGATE",IF(ABS(F10)&gt;Processed_Model!$B$4,"FLAG","OK"))</f>
        <v>FLAG</v>
      </c>
    </row>
    <row r="11" spans="1:7" x14ac:dyDescent="0.3">
      <c r="A11" s="7" t="s">
        <v>10</v>
      </c>
      <c r="B11" s="7" t="s">
        <v>9</v>
      </c>
      <c r="C11" s="39">
        <f>SUMIFS(tblAUM[AUM_CAD_Billions],tblAUM[Date],Processed_Model!$B$2,tblAUM[Segment],A11,tblAUM[Asset_Class],B11)</f>
        <v>6.5979999999999999</v>
      </c>
      <c r="D11" s="39">
        <f>SUMIFS(tblAUM[AUM_CAD_Billions],tblAUM[Date],Processed_Model!$B$3,tblAUM[Segment],A11,tblAUM[Asset_Class],B11)</f>
        <v>6.5650000000000004</v>
      </c>
      <c r="E11" s="39">
        <f t="shared" si="0"/>
        <v>3.2999999999999474E-2</v>
      </c>
      <c r="F11" s="42">
        <f t="shared" si="1"/>
        <v>5.0266565118049465E-3</v>
      </c>
      <c r="G11" s="7" t="str">
        <f>IF(OR(C11=0,D11=0),"INVESTIGATE",IF(ABS(F11)&gt;Processed_Model!$B$4,"FLAG","OK"))</f>
        <v>OK</v>
      </c>
    </row>
    <row r="12" spans="1:7" x14ac:dyDescent="0.3">
      <c r="A12" s="61" t="s">
        <v>196</v>
      </c>
      <c r="B12" s="61"/>
      <c r="C12" s="43">
        <f>SUM(C9:C11)</f>
        <v>57.341000000000001</v>
      </c>
      <c r="D12" s="43">
        <f>SUM(D9:D11)</f>
        <v>61.037999999999997</v>
      </c>
      <c r="E12" s="43">
        <f t="shared" si="0"/>
        <v>-3.6969999999999956</v>
      </c>
      <c r="F12" s="44">
        <f t="shared" si="1"/>
        <v>-6.0568825977260002E-2</v>
      </c>
      <c r="G12" s="35" t="str">
        <f>IF(OR(C12=0,D12=0),"INVESTIGATE",IF(ABS(F12)&gt;Processed_Model!$B$4,"FLAG","OK"))</f>
        <v>FLAG</v>
      </c>
    </row>
    <row r="13" spans="1:7" x14ac:dyDescent="0.3">
      <c r="A13" s="7" t="s">
        <v>11</v>
      </c>
      <c r="B13" s="7" t="s">
        <v>6</v>
      </c>
      <c r="C13" s="39">
        <f>SUMIFS(tblAUM[AUM_CAD_Billions],tblAUM[Date],Processed_Model!$B$2,tblAUM[Segment],A13,tblAUM[Asset_Class],B13)</f>
        <v>0</v>
      </c>
      <c r="D13" s="39">
        <f>SUMIFS(tblAUM[AUM_CAD_Billions],tblAUM[Date],Processed_Model!$B$3,tblAUM[Segment],A13,tblAUM[Asset_Class],B13)</f>
        <v>24.14</v>
      </c>
      <c r="E13" s="39">
        <f t="shared" si="0"/>
        <v>-24.14</v>
      </c>
      <c r="F13" s="42">
        <f t="shared" si="1"/>
        <v>-1</v>
      </c>
      <c r="G13" s="7" t="str">
        <f>IF(OR(C13=0,D13=0),"INVESTIGATE",IF(ABS(F13)&gt;Processed_Model!$B$4,"FLAG","OK"))</f>
        <v>INVESTIGATE</v>
      </c>
    </row>
    <row r="14" spans="1:7" x14ac:dyDescent="0.3">
      <c r="A14" s="7" t="s">
        <v>11</v>
      </c>
      <c r="B14" s="7" t="s">
        <v>8</v>
      </c>
      <c r="C14" s="39">
        <f>SUMIFS(tblAUM[AUM_CAD_Billions],tblAUM[Date],Processed_Model!$B$2,tblAUM[Segment],A14,tblAUM[Asset_Class],B14)</f>
        <v>0</v>
      </c>
      <c r="D14" s="39">
        <f>SUMIFS(tblAUM[AUM_CAD_Billions],tblAUM[Date],Processed_Model!$B$3,tblAUM[Segment],A14,tblAUM[Asset_Class],B14)</f>
        <v>4.3559999999999999</v>
      </c>
      <c r="E14" s="39">
        <f t="shared" si="0"/>
        <v>-4.3559999999999999</v>
      </c>
      <c r="F14" s="42">
        <f t="shared" si="1"/>
        <v>-1</v>
      </c>
      <c r="G14" s="7" t="str">
        <f>IF(OR(C14=0,D14=0),"INVESTIGATE",IF(ABS(F14)&gt;Processed_Model!$B$4,"FLAG","OK"))</f>
        <v>INVESTIGATE</v>
      </c>
    </row>
    <row r="15" spans="1:7" x14ac:dyDescent="0.3">
      <c r="A15" s="7" t="s">
        <v>11</v>
      </c>
      <c r="B15" s="7" t="s">
        <v>9</v>
      </c>
      <c r="C15" s="39">
        <f>SUMIFS(tblAUM[AUM_CAD_Billions],tblAUM[Date],Processed_Model!$B$2,tblAUM[Segment],A15,tblAUM[Asset_Class],B15)</f>
        <v>0</v>
      </c>
      <c r="D15" s="39">
        <f>SUMIFS(tblAUM[AUM_CAD_Billions],tblAUM[Date],Processed_Model!$B$3,tblAUM[Segment],A15,tblAUM[Asset_Class],B15)</f>
        <v>2.1800000000000002</v>
      </c>
      <c r="E15" s="39">
        <f t="shared" si="0"/>
        <v>-2.1800000000000002</v>
      </c>
      <c r="F15" s="42">
        <f t="shared" si="1"/>
        <v>-1</v>
      </c>
      <c r="G15" s="7" t="str">
        <f>IF(OR(C15=0,D15=0),"INVESTIGATE",IF(ABS(F15)&gt;Processed_Model!$B$4,"FLAG","OK"))</f>
        <v>INVESTIGATE</v>
      </c>
    </row>
    <row r="16" spans="1:7" x14ac:dyDescent="0.3">
      <c r="A16" s="61" t="s">
        <v>197</v>
      </c>
      <c r="B16" s="61"/>
      <c r="C16" s="43">
        <f>SUM(C13:C15)</f>
        <v>0</v>
      </c>
      <c r="D16" s="43">
        <f>SUM(D13:D15)</f>
        <v>30.676000000000002</v>
      </c>
      <c r="E16" s="43">
        <f t="shared" si="0"/>
        <v>-30.676000000000002</v>
      </c>
      <c r="F16" s="44">
        <f t="shared" si="1"/>
        <v>-1</v>
      </c>
      <c r="G16" s="35" t="str">
        <f>IF(OR(C16=0,D16=0),"INVESTIGATE",IF(ABS(F16)&gt;Processed_Model!$B$4,"FLAG","OK"))</f>
        <v>INVESTIGATE</v>
      </c>
    </row>
    <row r="17" spans="1:7" x14ac:dyDescent="0.3">
      <c r="A17" s="62" t="s">
        <v>198</v>
      </c>
      <c r="B17" s="62"/>
      <c r="C17" s="46">
        <f>SUMIFS(tblAUM[AUM_CAD_Billions],tblAUM[Date],Processed_Model!$B$2)</f>
        <v>428.88700000000006</v>
      </c>
      <c r="D17" s="46">
        <f>SUMIFS(tblAUM[AUM_CAD_Billions],tblAUM[Date],Processed_Model!$B$3)</f>
        <v>461.80500000000001</v>
      </c>
      <c r="E17" s="46">
        <f t="shared" si="0"/>
        <v>-32.91799999999995</v>
      </c>
      <c r="F17" s="47">
        <f t="shared" si="1"/>
        <v>-7.1281168458548413E-2</v>
      </c>
      <c r="G17" s="45" t="str">
        <f>IF(ABS(F17)&gt;Processed_Model!$B$4,"FLAG","OK")</f>
        <v>FLAG</v>
      </c>
    </row>
    <row r="18" spans="1:7" x14ac:dyDescent="0.3">
      <c r="A18" s="2"/>
      <c r="B18" s="2"/>
      <c r="C18" s="2"/>
      <c r="D18" s="2"/>
      <c r="E18" s="2"/>
      <c r="F18" s="2"/>
      <c r="G18" s="2"/>
    </row>
    <row r="19" spans="1:7" ht="22.05" customHeight="1" x14ac:dyDescent="0.35">
      <c r="A19" s="58" t="s">
        <v>333</v>
      </c>
      <c r="B19" s="59"/>
      <c r="C19" s="59"/>
      <c r="D19" s="59"/>
      <c r="E19" s="59"/>
      <c r="F19" s="59"/>
      <c r="G19" s="59"/>
    </row>
    <row r="20" spans="1:7" x14ac:dyDescent="0.3">
      <c r="A20" s="24" t="s">
        <v>1</v>
      </c>
      <c r="B20" s="24" t="s">
        <v>133</v>
      </c>
      <c r="C20" s="24" t="s">
        <v>334</v>
      </c>
      <c r="D20" s="24" t="s">
        <v>335</v>
      </c>
      <c r="E20" s="24" t="s">
        <v>336</v>
      </c>
      <c r="F20" s="24" t="s">
        <v>194</v>
      </c>
      <c r="G20" s="24" t="s">
        <v>126</v>
      </c>
    </row>
    <row r="21" spans="1:7" x14ac:dyDescent="0.3">
      <c r="A21" s="48" t="s">
        <v>5</v>
      </c>
      <c r="B21" s="48" t="s">
        <v>40</v>
      </c>
      <c r="C21" s="49">
        <f>SUMIFS(tblGL[Amount_CAD_Millions],tblGL[Date],Processed_Model!$B$2,tblGL[Segment],A21,tblGL[Type],"Revenue")</f>
        <v>123</v>
      </c>
      <c r="D21" s="49">
        <f>SUMIFS(tblGL[Amount_CAD_Millions],tblGL[Date],Processed_Model!$B$3,tblGL[Segment],A21,tblGL[Type],"Revenue")</f>
        <v>115.98</v>
      </c>
      <c r="E21" s="49">
        <f t="shared" ref="E21:E29" si="2">C21-D21</f>
        <v>7.019999999999996</v>
      </c>
      <c r="F21" s="50">
        <f t="shared" ref="F21:F29" si="3">IFERROR(E21/D21,"")</f>
        <v>6.0527677185721641E-2</v>
      </c>
      <c r="G21" s="48" t="str">
        <f>IF(OR(C21=0,D21=0),"INVESTIGATE",IF(ABS(F21)&gt;Processed_Model!$B$4,"FLAG","OK"))</f>
        <v>FLAG</v>
      </c>
    </row>
    <row r="22" spans="1:7" x14ac:dyDescent="0.3">
      <c r="A22" s="48" t="s">
        <v>5</v>
      </c>
      <c r="B22" s="48" t="s">
        <v>110</v>
      </c>
      <c r="C22" s="49">
        <f>-SUMIFS(tblGL[Amount_CAD_Millions],tblGL[Date],Processed_Model!$B$2,tblGL[Segment],A22,tblGL[Type],"Expense")</f>
        <v>64.731000000000009</v>
      </c>
      <c r="D22" s="49">
        <f>-SUMIFS(tblGL[Amount_CAD_Millions],tblGL[Date],Processed_Model!$B$3,tblGL[Segment],A22,tblGL[Type],"Expense")</f>
        <v>64.09</v>
      </c>
      <c r="E22" s="49">
        <f t="shared" si="2"/>
        <v>0.64100000000000534</v>
      </c>
      <c r="F22" s="50">
        <f t="shared" si="3"/>
        <v>1.0001560305820023E-2</v>
      </c>
      <c r="G22" s="48" t="str">
        <f>IF(OR(C22=0,D22=0),"INVESTIGATE",IF(ABS(F22)&gt;Processed_Model!$B$4,"FLAG","OK"))</f>
        <v>OK</v>
      </c>
    </row>
    <row r="23" spans="1:7" x14ac:dyDescent="0.3">
      <c r="A23" s="48" t="s">
        <v>5</v>
      </c>
      <c r="B23" s="48" t="s">
        <v>111</v>
      </c>
      <c r="C23" s="49">
        <f>SUMIFS(tblGL[Amount_CAD_Millions],tblGL[Date],Processed_Model!$B$2,tblGL[Segment],A23)</f>
        <v>58.269000000000005</v>
      </c>
      <c r="D23" s="49">
        <f>SUMIFS(tblGL[Amount_CAD_Millions],tblGL[Date],Processed_Model!$B$3,tblGL[Segment],A23)</f>
        <v>51.890000000000022</v>
      </c>
      <c r="E23" s="49">
        <f t="shared" si="2"/>
        <v>6.3789999999999836</v>
      </c>
      <c r="F23" s="50">
        <f t="shared" si="3"/>
        <v>0.12293312777028292</v>
      </c>
      <c r="G23" s="48" t="str">
        <f>IF(OR(C23=0,D23=0),"INVESTIGATE",IF(ABS(F23)&gt;Processed_Model!$B$4,"FLAG","OK"))</f>
        <v>FLAG</v>
      </c>
    </row>
    <row r="24" spans="1:7" x14ac:dyDescent="0.3">
      <c r="A24" s="7" t="s">
        <v>10</v>
      </c>
      <c r="B24" s="7" t="s">
        <v>40</v>
      </c>
      <c r="C24" s="30">
        <f>SUMIFS(tblGL[Amount_CAD_Millions],tblGL[Date],Processed_Model!$B$2,tblGL[Segment],A24,tblGL[Type],"Revenue")</f>
        <v>22.402999999999999</v>
      </c>
      <c r="D24" s="30">
        <f>SUMIFS(tblGL[Amount_CAD_Millions],tblGL[Date],Processed_Model!$B$3,tblGL[Segment],A24,tblGL[Type],"Revenue")</f>
        <v>23.475999999999999</v>
      </c>
      <c r="E24" s="30">
        <f t="shared" si="2"/>
        <v>-1.0730000000000004</v>
      </c>
      <c r="F24" s="42">
        <f t="shared" si="3"/>
        <v>-4.5706253194752106E-2</v>
      </c>
      <c r="G24" s="7" t="str">
        <f>IF(OR(C24=0,D24=0),"INVESTIGATE",IF(ABS(F24)&gt;Processed_Model!$B$4,"FLAG","OK"))</f>
        <v>OK</v>
      </c>
    </row>
    <row r="25" spans="1:7" x14ac:dyDescent="0.3">
      <c r="A25" s="7" t="s">
        <v>10</v>
      </c>
      <c r="B25" s="7" t="s">
        <v>110</v>
      </c>
      <c r="C25" s="30">
        <f>-SUMIFS(tblGL[Amount_CAD_Millions],tblGL[Date],Processed_Model!$B$2,tblGL[Segment],A25,tblGL[Type],"Expense")</f>
        <v>19.085999999999999</v>
      </c>
      <c r="D25" s="30">
        <f>-SUMIFS(tblGL[Amount_CAD_Millions],tblGL[Date],Processed_Model!$B$3,tblGL[Segment],A25,tblGL[Type],"Expense")</f>
        <v>18.617000000000004</v>
      </c>
      <c r="E25" s="30">
        <f t="shared" si="2"/>
        <v>0.46899999999999409</v>
      </c>
      <c r="F25" s="42">
        <f t="shared" si="3"/>
        <v>2.5192028790889723E-2</v>
      </c>
      <c r="G25" s="7" t="str">
        <f>IF(OR(C25=0,D25=0),"INVESTIGATE",IF(ABS(F25)&gt;Processed_Model!$B$4,"FLAG","OK"))</f>
        <v>OK</v>
      </c>
    </row>
    <row r="26" spans="1:7" x14ac:dyDescent="0.3">
      <c r="A26" s="7" t="s">
        <v>10</v>
      </c>
      <c r="B26" s="7" t="s">
        <v>111</v>
      </c>
      <c r="C26" s="30">
        <f>SUMIFS(tblGL[Amount_CAD_Millions],tblGL[Date],Processed_Model!$B$2,tblGL[Segment],A26)</f>
        <v>3.3169999999999975</v>
      </c>
      <c r="D26" s="30">
        <f>SUMIFS(tblGL[Amount_CAD_Millions],tblGL[Date],Processed_Model!$B$3,tblGL[Segment],A26)</f>
        <v>4.8589999999999982</v>
      </c>
      <c r="E26" s="30">
        <f t="shared" si="2"/>
        <v>-1.5420000000000007</v>
      </c>
      <c r="F26" s="42">
        <f t="shared" si="3"/>
        <v>-0.31734924881662918</v>
      </c>
      <c r="G26" s="7" t="str">
        <f>IF(OR(C26=0,D26=0),"INVESTIGATE",IF(ABS(F26)&gt;Processed_Model!$B$4,"FLAG","OK"))</f>
        <v>FLAG</v>
      </c>
    </row>
    <row r="27" spans="1:7" x14ac:dyDescent="0.3">
      <c r="A27" s="48" t="s">
        <v>11</v>
      </c>
      <c r="B27" s="48" t="s">
        <v>40</v>
      </c>
      <c r="C27" s="49">
        <f>SUMIFS(tblGL[Amount_CAD_Millions],tblGL[Date],Processed_Model!$B$2,tblGL[Segment],A27,tblGL[Type],"Revenue")</f>
        <v>10.026</v>
      </c>
      <c r="D27" s="49">
        <f>SUMIFS(tblGL[Amount_CAD_Millions],tblGL[Date],Processed_Model!$B$3,tblGL[Segment],A27,tblGL[Type],"Revenue")</f>
        <v>9.7119999999999997</v>
      </c>
      <c r="E27" s="49">
        <f t="shared" si="2"/>
        <v>0.31400000000000006</v>
      </c>
      <c r="F27" s="50">
        <f t="shared" si="3"/>
        <v>3.2331136738056022E-2</v>
      </c>
      <c r="G27" s="48" t="str">
        <f>IF(OR(C27=0,D27=0),"INVESTIGATE",IF(ABS(F27)&gt;Processed_Model!$B$4,"FLAG","OK"))</f>
        <v>OK</v>
      </c>
    </row>
    <row r="28" spans="1:7" x14ac:dyDescent="0.3">
      <c r="A28" s="48" t="s">
        <v>11</v>
      </c>
      <c r="B28" s="48" t="s">
        <v>110</v>
      </c>
      <c r="C28" s="49">
        <f>-SUMIFS(tblGL[Amount_CAD_Millions],tblGL[Date],Processed_Model!$B$2,tblGL[Segment],A28,tblGL[Type],"Expense")</f>
        <v>7.3839999999999995</v>
      </c>
      <c r="D28" s="49">
        <f>-SUMIFS(tblGL[Amount_CAD_Millions],tblGL[Date],Processed_Model!$B$3,tblGL[Segment],A28,tblGL[Type],"Expense")</f>
        <v>7.5759999999999996</v>
      </c>
      <c r="E28" s="49">
        <f t="shared" si="2"/>
        <v>-0.19200000000000017</v>
      </c>
      <c r="F28" s="50">
        <f t="shared" si="3"/>
        <v>-2.5343189017951448E-2</v>
      </c>
      <c r="G28" s="48" t="str">
        <f>IF(OR(C28=0,D28=0),"INVESTIGATE",IF(ABS(F28)&gt;Processed_Model!$B$4,"FLAG","OK"))</f>
        <v>OK</v>
      </c>
    </row>
    <row r="29" spans="1:7" x14ac:dyDescent="0.3">
      <c r="A29" s="48" t="s">
        <v>11</v>
      </c>
      <c r="B29" s="48" t="s">
        <v>111</v>
      </c>
      <c r="C29" s="49">
        <f>SUMIFS(tblGL[Amount_CAD_Millions],tblGL[Date],Processed_Model!$B$2,tblGL[Segment],A29)</f>
        <v>2.6420000000000003</v>
      </c>
      <c r="D29" s="49">
        <f>SUMIFS(tblGL[Amount_CAD_Millions],tblGL[Date],Processed_Model!$B$3,tblGL[Segment],A29)</f>
        <v>2.1360000000000001</v>
      </c>
      <c r="E29" s="49">
        <f t="shared" si="2"/>
        <v>0.50600000000000023</v>
      </c>
      <c r="F29" s="50">
        <f t="shared" si="3"/>
        <v>0.23689138576779037</v>
      </c>
      <c r="G29" s="48" t="str">
        <f>IF(OR(C29=0,D29=0),"INVESTIGATE",IF(ABS(F29)&gt;Processed_Model!$B$4,"FLAG","OK"))</f>
        <v>FLAG</v>
      </c>
    </row>
  </sheetData>
  <mergeCells count="7">
    <mergeCell ref="A19:G19"/>
    <mergeCell ref="A1:G1"/>
    <mergeCell ref="A2:G2"/>
    <mergeCell ref="A8:B8"/>
    <mergeCell ref="A12:B12"/>
    <mergeCell ref="A16:B16"/>
    <mergeCell ref="A17:B17"/>
  </mergeCells>
  <conditionalFormatting sqref="G5:G17">
    <cfRule type="cellIs" dxfId="5" priority="1" operator="equal">
      <formula>"FLAG"</formula>
    </cfRule>
    <cfRule type="cellIs" dxfId="4" priority="2" operator="equal">
      <formula>"INVESTIGATE"</formula>
    </cfRule>
    <cfRule type="cellIs" dxfId="3" priority="3" operator="equal">
      <formula>"OK"</formula>
    </cfRule>
  </conditionalFormatting>
  <conditionalFormatting sqref="G21:G29">
    <cfRule type="cellIs" dxfId="2" priority="4" operator="equal">
      <formula>"FLAG"</formula>
    </cfRule>
    <cfRule type="cellIs" dxfId="1" priority="5" operator="equal">
      <formula>"INVESTIGATE"</formula>
    </cfRule>
    <cfRule type="cellIs" dxfId="0" priority="6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README</vt:lpstr>
      <vt:lpstr>Dashboard</vt:lpstr>
      <vt:lpstr>Raw_AUM</vt:lpstr>
      <vt:lpstr>Raw_GL</vt:lpstr>
      <vt:lpstr>Raw_Investments</vt:lpstr>
      <vt:lpstr>Processed_Model</vt:lpstr>
      <vt:lpstr>Controls</vt:lpstr>
      <vt:lpstr>Variance_Detail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Ziab Ziab</dc:creator>
  <cp:lastModifiedBy>Ziab Ziab</cp:lastModifiedBy>
  <dcterms:created xsi:type="dcterms:W3CDTF">2026-05-01T23:37:16Z</dcterms:created>
  <dcterms:modified xsi:type="dcterms:W3CDTF">2026-05-02T18:44:46Z</dcterms:modified>
</cp:coreProperties>
</file>